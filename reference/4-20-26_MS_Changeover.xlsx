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28680" yWindow="-120" windowWidth="29040" windowHeight="15840"/>
  </bookViews>
  <sheets>
    <sheet name="MS pla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I7" i="1" l="1"/>
  <c r="AA2" i="1" l="1"/>
  <c r="AD2" i="1" s="1"/>
  <c r="AG2" i="1" s="1"/>
  <c r="F92" i="1" l="1"/>
  <c r="G7" i="1" l="1"/>
  <c r="F32" i="1"/>
  <c r="F6" i="1"/>
  <c r="I6" i="1"/>
  <c r="I32" i="1"/>
  <c r="J7" i="1"/>
  <c r="J32" i="1" l="1"/>
  <c r="J92" i="1"/>
  <c r="G32" i="1"/>
  <c r="G92" i="1"/>
  <c r="I92" i="1"/>
  <c r="L7" i="1"/>
  <c r="K7" i="1"/>
  <c r="H7" i="1"/>
  <c r="H32" i="1" l="1"/>
  <c r="H92" i="1"/>
  <c r="K32" i="1"/>
  <c r="K92" i="1"/>
  <c r="L32" i="1"/>
  <c r="L92" i="1"/>
  <c r="M7" i="1"/>
  <c r="L6" i="1"/>
  <c r="O7" i="1"/>
  <c r="O32" i="1" l="1"/>
  <c r="O92" i="1"/>
  <c r="M32" i="1"/>
  <c r="M92" i="1"/>
  <c r="O6" i="1"/>
  <c r="P7" i="1"/>
  <c r="R7" i="1"/>
  <c r="N7" i="1"/>
  <c r="N32" i="1" l="1"/>
  <c r="N92" i="1"/>
  <c r="R32" i="1"/>
  <c r="R92" i="1"/>
  <c r="P32" i="1"/>
  <c r="P92" i="1"/>
  <c r="Q7" i="1"/>
  <c r="S7" i="1"/>
  <c r="U7" i="1"/>
  <c r="R6" i="1"/>
  <c r="A1" i="1" l="1"/>
  <c r="U92" i="1"/>
  <c r="U32" i="1"/>
  <c r="S32" i="1"/>
  <c r="S92" i="1"/>
  <c r="Q32" i="1"/>
  <c r="Q92" i="1"/>
  <c r="T7" i="1"/>
  <c r="X7" i="1"/>
  <c r="U6" i="1"/>
  <c r="V7" i="1"/>
  <c r="V92" i="1" l="1"/>
  <c r="X92" i="1"/>
  <c r="T32" i="1"/>
  <c r="T92" i="1"/>
  <c r="V32" i="1"/>
  <c r="X32" i="1"/>
  <c r="Y7" i="1"/>
  <c r="AA7" i="1"/>
  <c r="X6" i="1"/>
  <c r="W7" i="1"/>
  <c r="W92" i="1" l="1"/>
  <c r="AA92" i="1"/>
  <c r="Y92" i="1"/>
  <c r="Y32" i="1"/>
  <c r="W32" i="1"/>
  <c r="AA32" i="1"/>
  <c r="Z7" i="1"/>
  <c r="AB7" i="1"/>
  <c r="AD7" i="1"/>
  <c r="AA6" i="1"/>
  <c r="AB92" i="1" l="1"/>
  <c r="Z92" i="1"/>
  <c r="Z32" i="1"/>
  <c r="AD32" i="1"/>
  <c r="AD92" i="1"/>
  <c r="AB32" i="1"/>
  <c r="AE7" i="1"/>
  <c r="AD6" i="1"/>
  <c r="AG7" i="1"/>
  <c r="AC7" i="1"/>
  <c r="AC92" i="1" l="1"/>
  <c r="AE32" i="1"/>
  <c r="AE92" i="1"/>
  <c r="AC32" i="1"/>
  <c r="AG32" i="1"/>
  <c r="AG92" i="1"/>
  <c r="AF7" i="1"/>
  <c r="AJ7" i="1"/>
  <c r="AG6" i="1"/>
  <c r="AH7" i="1"/>
  <c r="AJ32" i="1" l="1"/>
  <c r="AJ92" i="1"/>
  <c r="AF32" i="1"/>
  <c r="AF92" i="1"/>
  <c r="AH32" i="1"/>
  <c r="AH92" i="1"/>
  <c r="AM7" i="1"/>
  <c r="AJ6" i="1"/>
  <c r="AK7" i="1"/>
  <c r="AI7" i="1"/>
  <c r="AM32" i="1" l="1"/>
  <c r="AM92" i="1"/>
  <c r="AI32" i="1"/>
  <c r="AI92" i="1"/>
  <c r="AK32" i="1"/>
  <c r="AK92" i="1"/>
  <c r="AN7" i="1"/>
  <c r="AM6" i="1"/>
  <c r="AL7" i="1"/>
  <c r="AN32" i="1" l="1"/>
  <c r="AN92" i="1"/>
  <c r="AL32" i="1"/>
  <c r="AL92" i="1"/>
  <c r="AO7" i="1"/>
  <c r="AO32" i="1" l="1"/>
  <c r="AO92" i="1"/>
</calcChain>
</file>

<file path=xl/comments1.xml><?xml version="1.0" encoding="utf-8"?>
<comments xmlns="http://schemas.openxmlformats.org/spreadsheetml/2006/main">
  <authors>
    <author>Author</author>
  </authors>
  <commentList>
    <comment ref="J47" authorId="0" shapeId="0">
      <text>
        <r>
          <rPr>
            <b/>
            <sz val="9"/>
            <color indexed="81"/>
            <rFont val="Tahoma"/>
            <charset val="1"/>
          </rPr>
          <t>QAV</t>
        </r>
      </text>
    </comment>
  </commentList>
</comments>
</file>

<file path=xl/sharedStrings.xml><?xml version="1.0" encoding="utf-8"?>
<sst xmlns="http://schemas.openxmlformats.org/spreadsheetml/2006/main" count="201" uniqueCount="96">
  <si>
    <t>1st</t>
  </si>
  <si>
    <t>3rd</t>
  </si>
  <si>
    <t>2nd</t>
  </si>
  <si>
    <t>AEP</t>
  </si>
  <si>
    <t>5J6-1</t>
  </si>
  <si>
    <t>5MH</t>
  </si>
  <si>
    <t>RDJ</t>
  </si>
  <si>
    <t>P8A</t>
  </si>
  <si>
    <t>PGE</t>
  </si>
  <si>
    <t>R5A</t>
  </si>
  <si>
    <t>6FB</t>
  </si>
  <si>
    <t>5BA</t>
  </si>
  <si>
    <t>RPY</t>
  </si>
  <si>
    <t>6B2</t>
  </si>
  <si>
    <t>RPY FP</t>
  </si>
  <si>
    <t>TK8</t>
  </si>
  <si>
    <t>RNA</t>
  </si>
  <si>
    <t>64A</t>
  </si>
  <si>
    <t>6NA FP</t>
  </si>
  <si>
    <t>SZA BASE</t>
  </si>
  <si>
    <t>SP</t>
  </si>
  <si>
    <t>Block-1</t>
  </si>
  <si>
    <t>Parts</t>
  </si>
  <si>
    <t>Process</t>
  </si>
  <si>
    <t>Machining</t>
  </si>
  <si>
    <t>Assembly</t>
  </si>
  <si>
    <t>Block-2</t>
  </si>
  <si>
    <t>RH-5 Machining</t>
  </si>
  <si>
    <t>Line</t>
  </si>
  <si>
    <t>Block</t>
  </si>
  <si>
    <t>Side Cover</t>
  </si>
  <si>
    <t>5BA S/C</t>
  </si>
  <si>
    <t>5PA FP</t>
  </si>
  <si>
    <t>59B FP</t>
  </si>
  <si>
    <t>59B CH sets</t>
  </si>
  <si>
    <t>Line-3</t>
  </si>
  <si>
    <t>Metts</t>
  </si>
  <si>
    <t>6MA CH sets</t>
  </si>
  <si>
    <t>Line-A</t>
  </si>
  <si>
    <t>Line-4</t>
  </si>
  <si>
    <t>Line-B</t>
  </si>
  <si>
    <t>5G0 FR</t>
  </si>
  <si>
    <t>5G0 RR</t>
  </si>
  <si>
    <t>6B2/RPY FP</t>
  </si>
  <si>
    <t>Comp.Bracket</t>
  </si>
  <si>
    <t>RPY C.B.</t>
  </si>
  <si>
    <t>6FB small</t>
  </si>
  <si>
    <t>6FB CH-1</t>
  </si>
  <si>
    <t>6FB Oil.Pass</t>
  </si>
  <si>
    <t>Block-3</t>
  </si>
  <si>
    <t>issue</t>
  </si>
  <si>
    <t>Check MS</t>
  </si>
  <si>
    <t>Check PC</t>
  </si>
  <si>
    <t>5G0 RH</t>
  </si>
  <si>
    <t>64A OP</t>
  </si>
  <si>
    <t>V6 OP</t>
  </si>
  <si>
    <t>SP OP</t>
  </si>
  <si>
    <t>5BA/RPY
CH sets
L-1</t>
  </si>
  <si>
    <t>6B2/5BA
CH sets
L-2</t>
  </si>
  <si>
    <t>12h</t>
  </si>
  <si>
    <t>Stop</t>
  </si>
  <si>
    <t>10h</t>
  </si>
  <si>
    <t>SPL</t>
  </si>
  <si>
    <t>R70 COS</t>
  </si>
  <si>
    <t>6S9 COS</t>
  </si>
  <si>
    <t>69F T.Case</t>
  </si>
  <si>
    <t>5MX Pipe-B</t>
  </si>
  <si>
    <t>5YK Pipe-b</t>
  </si>
  <si>
    <t>COS</t>
  </si>
  <si>
    <t>Pipe-B</t>
  </si>
  <si>
    <t>5PA OP</t>
  </si>
  <si>
    <t>5K8 OP</t>
  </si>
  <si>
    <t>Pass
Through</t>
  </si>
  <si>
    <t>Washer</t>
  </si>
  <si>
    <t>5G0 RH-1/3</t>
  </si>
  <si>
    <t>5G0 RH-2</t>
  </si>
  <si>
    <t>MS-1</t>
  </si>
  <si>
    <t>6MD</t>
  </si>
  <si>
    <t>6MD I/M Plate</t>
  </si>
  <si>
    <t>FP L-1</t>
  </si>
  <si>
    <t>FP L-2</t>
  </si>
  <si>
    <t>6VJ FP</t>
  </si>
  <si>
    <t>S. Wiley</t>
  </si>
  <si>
    <t>R. Cosby</t>
  </si>
  <si>
    <t>5MX/5YK</t>
  </si>
  <si>
    <t>Astemo</t>
  </si>
  <si>
    <t>INN H/S</t>
  </si>
  <si>
    <t>CMM</t>
  </si>
  <si>
    <t>Case Single</t>
  </si>
  <si>
    <t>Cover Single</t>
  </si>
  <si>
    <t>FP L-3
(MS-1)</t>
  </si>
  <si>
    <t>69F(6MA) OP</t>
  </si>
  <si>
    <t>Case Dual</t>
  </si>
  <si>
    <t>Cover Dual</t>
  </si>
  <si>
    <t>Week MS production plan</t>
  </si>
  <si>
    <t>HMA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</si>
</sst>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b/>
      <sz val="36"/>
      <color rgb="FF0000FF"/>
      <name val="Calibri"/>
      <family val="2"/>
      <scheme val="minor"/>
    </font>
    <font>
      <b/>
      <sz val="36"/>
      <color theme="9"/>
      <name val="Calibri"/>
      <family val="2"/>
      <scheme val="minor"/>
    </font>
    <font>
      <b/>
      <sz val="36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28"/>
      <color rgb="FF0000FF"/>
      <name val="Arial Black"/>
      <family val="2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8"/>
      <color rgb="FF0000FF"/>
      <name val="Arial Black"/>
      <family val="2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1" fillId="3" borderId="71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1" fillId="3" borderId="69" xfId="0" applyFont="1" applyFill="1" applyBorder="1" applyAlignment="1">
      <alignment horizontal="center" vertical="center"/>
    </xf>
    <xf numFmtId="0" fontId="1" fillId="3" borderId="66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1" fillId="3" borderId="65" xfId="0" applyFont="1" applyFill="1" applyBorder="1" applyAlignment="1">
      <alignment horizontal="center" vertical="center"/>
    </xf>
    <xf numFmtId="0" fontId="1" fillId="3" borderId="7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3" fontId="8" fillId="0" borderId="50" xfId="0" applyNumberFormat="1" applyFont="1" applyBorder="1" applyAlignment="1">
      <alignment horizontal="right" shrinkToFit="1"/>
    </xf>
    <xf numFmtId="3" fontId="8" fillId="0" borderId="40" xfId="0" applyNumberFormat="1" applyFont="1" applyBorder="1" applyAlignment="1">
      <alignment horizontal="right" shrinkToFit="1"/>
    </xf>
    <xf numFmtId="3" fontId="8" fillId="0" borderId="41" xfId="0" applyNumberFormat="1" applyFont="1" applyBorder="1" applyAlignment="1">
      <alignment horizontal="right" shrinkToFit="1"/>
    </xf>
    <xf numFmtId="3" fontId="8" fillId="0" borderId="54" xfId="0" applyNumberFormat="1" applyFont="1" applyBorder="1" applyAlignment="1">
      <alignment horizontal="right" shrinkToFit="1"/>
    </xf>
    <xf numFmtId="3" fontId="8" fillId="0" borderId="46" xfId="0" applyNumberFormat="1" applyFont="1" applyBorder="1" applyAlignment="1">
      <alignment horizontal="right" shrinkToFit="1"/>
    </xf>
    <xf numFmtId="3" fontId="8" fillId="4" borderId="54" xfId="0" applyNumberFormat="1" applyFont="1" applyFill="1" applyBorder="1" applyAlignment="1">
      <alignment horizontal="right" shrinkToFit="1"/>
    </xf>
    <xf numFmtId="3" fontId="8" fillId="4" borderId="46" xfId="0" applyNumberFormat="1" applyFont="1" applyFill="1" applyBorder="1" applyAlignment="1">
      <alignment horizontal="right" shrinkToFit="1"/>
    </xf>
    <xf numFmtId="3" fontId="8" fillId="0" borderId="55" xfId="0" applyNumberFormat="1" applyFont="1" applyBorder="1" applyAlignment="1">
      <alignment horizontal="right" shrinkToFit="1"/>
    </xf>
    <xf numFmtId="3" fontId="8" fillId="0" borderId="42" xfId="0" applyNumberFormat="1" applyFont="1" applyBorder="1" applyAlignment="1">
      <alignment horizontal="right" shrinkToFit="1"/>
    </xf>
    <xf numFmtId="3" fontId="8" fillId="0" borderId="43" xfId="0" applyNumberFormat="1" applyFont="1" applyBorder="1" applyAlignment="1">
      <alignment horizontal="right" shrinkToFit="1"/>
    </xf>
    <xf numFmtId="3" fontId="8" fillId="0" borderId="57" xfId="0" applyNumberFormat="1" applyFont="1" applyBorder="1" applyAlignment="1">
      <alignment horizontal="right" shrinkToFit="1"/>
    </xf>
    <xf numFmtId="3" fontId="8" fillId="0" borderId="44" xfId="0" applyNumberFormat="1" applyFont="1" applyBorder="1" applyAlignment="1">
      <alignment horizontal="right" shrinkToFit="1"/>
    </xf>
    <xf numFmtId="3" fontId="8" fillId="0" borderId="45" xfId="0" applyNumberFormat="1" applyFont="1" applyBorder="1" applyAlignment="1">
      <alignment horizontal="right" shrinkToFit="1"/>
    </xf>
    <xf numFmtId="3" fontId="8" fillId="0" borderId="0" xfId="0" applyNumberFormat="1" applyFont="1" applyAlignment="1">
      <alignment horizontal="right" shrinkToFit="1"/>
    </xf>
    <xf numFmtId="3" fontId="8" fillId="0" borderId="51" xfId="0" applyNumberFormat="1" applyFont="1" applyBorder="1" applyAlignment="1">
      <alignment horizontal="right" shrinkToFit="1"/>
    </xf>
    <xf numFmtId="3" fontId="8" fillId="0" borderId="52" xfId="0" applyNumberFormat="1" applyFont="1" applyBorder="1" applyAlignment="1">
      <alignment horizontal="right" shrinkToFit="1"/>
    </xf>
    <xf numFmtId="3" fontId="8" fillId="0" borderId="53" xfId="0" applyNumberFormat="1" applyFont="1" applyBorder="1" applyAlignment="1">
      <alignment horizontal="right" shrinkToFit="1"/>
    </xf>
    <xf numFmtId="3" fontId="8" fillId="0" borderId="47" xfId="0" applyNumberFormat="1" applyFont="1" applyBorder="1" applyAlignment="1">
      <alignment horizontal="right" shrinkToFit="1"/>
    </xf>
    <xf numFmtId="3" fontId="8" fillId="0" borderId="56" xfId="0" applyNumberFormat="1" applyFont="1" applyBorder="1" applyAlignment="1">
      <alignment horizontal="right" shrinkToFit="1"/>
    </xf>
    <xf numFmtId="3" fontId="8" fillId="0" borderId="48" xfId="0" applyNumberFormat="1" applyFont="1" applyBorder="1" applyAlignment="1">
      <alignment horizontal="right" shrinkToFit="1"/>
    </xf>
    <xf numFmtId="3" fontId="8" fillId="0" borderId="49" xfId="0" applyNumberFormat="1" applyFont="1" applyBorder="1" applyAlignment="1">
      <alignment horizontal="right" shrinkToFit="1"/>
    </xf>
    <xf numFmtId="3" fontId="8" fillId="0" borderId="59" xfId="0" applyNumberFormat="1" applyFont="1" applyBorder="1" applyAlignment="1">
      <alignment horizontal="right" shrinkToFit="1"/>
    </xf>
    <xf numFmtId="3" fontId="8" fillId="0" borderId="60" xfId="0" applyNumberFormat="1" applyFont="1" applyBorder="1" applyAlignment="1">
      <alignment horizontal="right" shrinkToFit="1"/>
    </xf>
    <xf numFmtId="3" fontId="8" fillId="0" borderId="58" xfId="0" applyNumberFormat="1" applyFont="1" applyBorder="1" applyAlignment="1">
      <alignment horizontal="right" shrinkToFit="1"/>
    </xf>
    <xf numFmtId="3" fontId="8" fillId="0" borderId="62" xfId="0" applyNumberFormat="1" applyFont="1" applyBorder="1" applyAlignment="1">
      <alignment horizontal="right" shrinkToFit="1"/>
    </xf>
    <xf numFmtId="3" fontId="8" fillId="0" borderId="63" xfId="0" applyNumberFormat="1" applyFont="1" applyBorder="1" applyAlignment="1">
      <alignment horizontal="right" shrinkToFit="1"/>
    </xf>
    <xf numFmtId="3" fontId="8" fillId="0" borderId="64" xfId="0" applyNumberFormat="1" applyFont="1" applyBorder="1" applyAlignment="1">
      <alignment horizontal="right" shrinkToFit="1"/>
    </xf>
    <xf numFmtId="0" fontId="1" fillId="0" borderId="61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1" fillId="0" borderId="79" xfId="0" applyFont="1" applyBorder="1" applyAlignment="1">
      <alignment horizontal="center" vertical="center"/>
    </xf>
    <xf numFmtId="3" fontId="8" fillId="0" borderId="80" xfId="0" applyNumberFormat="1" applyFont="1" applyBorder="1" applyAlignment="1">
      <alignment horizontal="right" shrinkToFit="1"/>
    </xf>
    <xf numFmtId="3" fontId="8" fillId="0" borderId="81" xfId="0" applyNumberFormat="1" applyFont="1" applyBorder="1" applyAlignment="1">
      <alignment horizontal="right" shrinkToFit="1"/>
    </xf>
    <xf numFmtId="3" fontId="8" fillId="0" borderId="83" xfId="0" applyNumberFormat="1" applyFont="1" applyBorder="1" applyAlignment="1">
      <alignment horizontal="right" shrinkToFit="1"/>
    </xf>
    <xf numFmtId="3" fontId="8" fillId="0" borderId="84" xfId="0" applyNumberFormat="1" applyFont="1" applyBorder="1" applyAlignment="1">
      <alignment horizontal="right" shrinkToFit="1"/>
    </xf>
    <xf numFmtId="3" fontId="8" fillId="0" borderId="86" xfId="0" applyNumberFormat="1" applyFont="1" applyBorder="1" applyAlignment="1">
      <alignment horizontal="right" shrinkToFit="1"/>
    </xf>
    <xf numFmtId="3" fontId="8" fillId="8" borderId="62" xfId="0" applyNumberFormat="1" applyFont="1" applyFill="1" applyBorder="1" applyAlignment="1">
      <alignment horizontal="right" shrinkToFit="1"/>
    </xf>
    <xf numFmtId="3" fontId="8" fillId="8" borderId="63" xfId="0" applyNumberFormat="1" applyFont="1" applyFill="1" applyBorder="1" applyAlignment="1">
      <alignment horizontal="right" shrinkToFit="1"/>
    </xf>
    <xf numFmtId="3" fontId="8" fillId="8" borderId="64" xfId="0" applyNumberFormat="1" applyFont="1" applyFill="1" applyBorder="1" applyAlignment="1">
      <alignment horizontal="right" shrinkToFit="1"/>
    </xf>
    <xf numFmtId="0" fontId="1" fillId="0" borderId="8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3" fontId="8" fillId="0" borderId="92" xfId="0" applyNumberFormat="1" applyFont="1" applyBorder="1" applyAlignment="1">
      <alignment horizontal="right" shrinkToFit="1"/>
    </xf>
    <xf numFmtId="3" fontId="8" fillId="0" borderId="93" xfId="0" applyNumberFormat="1" applyFont="1" applyBorder="1" applyAlignment="1">
      <alignment horizontal="right" shrinkToFit="1"/>
    </xf>
    <xf numFmtId="0" fontId="1" fillId="0" borderId="95" xfId="0" applyFont="1" applyBorder="1" applyAlignment="1">
      <alignment horizontal="center" vertical="center"/>
    </xf>
    <xf numFmtId="3" fontId="8" fillId="0" borderId="96" xfId="0" applyNumberFormat="1" applyFont="1" applyBorder="1" applyAlignment="1">
      <alignment horizontal="right" shrinkToFit="1"/>
    </xf>
    <xf numFmtId="0" fontId="1" fillId="2" borderId="65" xfId="0" applyFont="1" applyFill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3" fontId="8" fillId="0" borderId="108" xfId="0" applyNumberFormat="1" applyFont="1" applyBorder="1" applyAlignment="1">
      <alignment horizontal="right" shrinkToFit="1"/>
    </xf>
    <xf numFmtId="3" fontId="13" fillId="0" borderId="59" xfId="0" applyNumberFormat="1" applyFont="1" applyBorder="1" applyAlignment="1">
      <alignment horizontal="center" vertical="center" shrinkToFit="1"/>
    </xf>
    <xf numFmtId="3" fontId="13" fillId="0" borderId="60" xfId="0" applyNumberFormat="1" applyFont="1" applyBorder="1" applyAlignment="1">
      <alignment horizontal="center" vertical="center" shrinkToFit="1"/>
    </xf>
    <xf numFmtId="3" fontId="13" fillId="0" borderId="58" xfId="0" applyNumberFormat="1" applyFont="1" applyBorder="1" applyAlignment="1">
      <alignment horizontal="center" vertical="center" shrinkToFit="1"/>
    </xf>
    <xf numFmtId="3" fontId="8" fillId="0" borderId="55" xfId="0" applyNumberFormat="1" applyFont="1" applyBorder="1" applyAlignment="1">
      <alignment horizontal="center" vertical="center" shrinkToFit="1"/>
    </xf>
    <xf numFmtId="3" fontId="8" fillId="0" borderId="42" xfId="0" applyNumberFormat="1" applyFont="1" applyBorder="1" applyAlignment="1">
      <alignment horizontal="center" vertical="center" shrinkToFit="1"/>
    </xf>
    <xf numFmtId="3" fontId="8" fillId="0" borderId="43" xfId="0" applyNumberFormat="1" applyFont="1" applyBorder="1" applyAlignment="1">
      <alignment horizontal="center" vertical="center" shrinkToFit="1"/>
    </xf>
    <xf numFmtId="3" fontId="8" fillId="0" borderId="50" xfId="0" applyNumberFormat="1" applyFont="1" applyBorder="1" applyAlignment="1">
      <alignment horizontal="center" vertical="center" shrinkToFit="1"/>
    </xf>
    <xf numFmtId="3" fontId="8" fillId="0" borderId="40" xfId="0" applyNumberFormat="1" applyFont="1" applyBorder="1" applyAlignment="1">
      <alignment horizontal="center" vertical="center" shrinkToFit="1"/>
    </xf>
    <xf numFmtId="3" fontId="8" fillId="0" borderId="41" xfId="0" applyNumberFormat="1" applyFont="1" applyBorder="1" applyAlignment="1">
      <alignment horizontal="center" vertical="center" shrinkToFit="1"/>
    </xf>
    <xf numFmtId="3" fontId="8" fillId="0" borderId="31" xfId="0" applyNumberFormat="1" applyFont="1" applyBorder="1" applyAlignment="1">
      <alignment horizontal="right" shrinkToFit="1"/>
    </xf>
    <xf numFmtId="3" fontId="8" fillId="0" borderId="29" xfId="0" applyNumberFormat="1" applyFont="1" applyBorder="1" applyAlignment="1">
      <alignment horizontal="right" shrinkToFit="1"/>
    </xf>
    <xf numFmtId="3" fontId="8" fillId="9" borderId="50" xfId="0" applyNumberFormat="1" applyFont="1" applyFill="1" applyBorder="1" applyAlignment="1">
      <alignment horizontal="right" shrinkToFit="1"/>
    </xf>
    <xf numFmtId="3" fontId="8" fillId="9" borderId="55" xfId="0" applyNumberFormat="1" applyFont="1" applyFill="1" applyBorder="1" applyAlignment="1">
      <alignment horizontal="right" shrinkToFit="1"/>
    </xf>
    <xf numFmtId="3" fontId="8" fillId="9" borderId="41" xfId="0" applyNumberFormat="1" applyFont="1" applyFill="1" applyBorder="1" applyAlignment="1">
      <alignment horizontal="right" shrinkToFit="1"/>
    </xf>
    <xf numFmtId="3" fontId="8" fillId="9" borderId="43" xfId="0" applyNumberFormat="1" applyFont="1" applyFill="1" applyBorder="1" applyAlignment="1">
      <alignment horizontal="right" shrinkToFit="1"/>
    </xf>
    <xf numFmtId="3" fontId="8" fillId="0" borderId="100" xfId="0" applyNumberFormat="1" applyFont="1" applyBorder="1" applyAlignment="1">
      <alignment horizontal="right" shrinkToFit="1"/>
    </xf>
    <xf numFmtId="3" fontId="8" fillId="0" borderId="36" xfId="0" applyNumberFormat="1" applyFont="1" applyBorder="1" applyAlignment="1">
      <alignment horizontal="right" shrinkToFit="1"/>
    </xf>
    <xf numFmtId="3" fontId="8" fillId="0" borderId="59" xfId="0" applyNumberFormat="1" applyFont="1" applyBorder="1" applyAlignment="1">
      <alignment horizontal="center" vertical="center" shrinkToFit="1"/>
    </xf>
    <xf numFmtId="3" fontId="8" fillId="0" borderId="60" xfId="0" applyNumberFormat="1" applyFont="1" applyBorder="1" applyAlignment="1">
      <alignment horizontal="center" vertical="center" shrinkToFit="1"/>
    </xf>
    <xf numFmtId="3" fontId="8" fillId="0" borderId="58" xfId="0" applyNumberFormat="1" applyFont="1" applyBorder="1" applyAlignment="1">
      <alignment horizontal="center" vertical="center" shrinkToFit="1"/>
    </xf>
    <xf numFmtId="3" fontId="8" fillId="4" borderId="50" xfId="0" applyNumberFormat="1" applyFont="1" applyFill="1" applyBorder="1" applyAlignment="1">
      <alignment horizontal="right" shrinkToFit="1"/>
    </xf>
    <xf numFmtId="3" fontId="8" fillId="4" borderId="40" xfId="0" applyNumberFormat="1" applyFont="1" applyFill="1" applyBorder="1" applyAlignment="1">
      <alignment horizontal="right" shrinkToFit="1"/>
    </xf>
    <xf numFmtId="3" fontId="8" fillId="4" borderId="55" xfId="0" applyNumberFormat="1" applyFont="1" applyFill="1" applyBorder="1" applyAlignment="1">
      <alignment horizontal="right" shrinkToFit="1"/>
    </xf>
    <xf numFmtId="3" fontId="8" fillId="4" borderId="42" xfId="0" applyNumberFormat="1" applyFont="1" applyFill="1" applyBorder="1" applyAlignment="1">
      <alignment horizontal="right" shrinkToFit="1"/>
    </xf>
    <xf numFmtId="3" fontId="8" fillId="4" borderId="43" xfId="0" applyNumberFormat="1" applyFont="1" applyFill="1" applyBorder="1" applyAlignment="1">
      <alignment horizontal="right" shrinkToFit="1"/>
    </xf>
    <xf numFmtId="3" fontId="8" fillId="4" borderId="41" xfId="0" applyNumberFormat="1" applyFont="1" applyFill="1" applyBorder="1" applyAlignment="1">
      <alignment horizontal="right" shrinkToFit="1"/>
    </xf>
    <xf numFmtId="3" fontId="8" fillId="4" borderId="0" xfId="0" applyNumberFormat="1" applyFont="1" applyFill="1" applyAlignment="1">
      <alignment horizontal="right" shrinkToFit="1"/>
    </xf>
    <xf numFmtId="3" fontId="8" fillId="4" borderId="51" xfId="0" applyNumberFormat="1" applyFont="1" applyFill="1" applyBorder="1" applyAlignment="1">
      <alignment horizontal="right" shrinkToFit="1"/>
    </xf>
    <xf numFmtId="3" fontId="8" fillId="4" borderId="52" xfId="0" applyNumberFormat="1" applyFont="1" applyFill="1" applyBorder="1" applyAlignment="1">
      <alignment horizontal="right" shrinkToFit="1"/>
    </xf>
    <xf numFmtId="3" fontId="8" fillId="4" borderId="53" xfId="0" applyNumberFormat="1" applyFont="1" applyFill="1" applyBorder="1" applyAlignment="1">
      <alignment horizontal="right" shrinkToFit="1"/>
    </xf>
    <xf numFmtId="3" fontId="8" fillId="4" borderId="58" xfId="0" applyNumberFormat="1" applyFont="1" applyFill="1" applyBorder="1" applyAlignment="1">
      <alignment horizontal="right" shrinkToFit="1"/>
    </xf>
    <xf numFmtId="3" fontId="8" fillId="4" borderId="59" xfId="0" applyNumberFormat="1" applyFont="1" applyFill="1" applyBorder="1" applyAlignment="1">
      <alignment horizontal="right" shrinkToFit="1"/>
    </xf>
    <xf numFmtId="0" fontId="1" fillId="4" borderId="0" xfId="0" applyFont="1" applyFill="1" applyAlignment="1">
      <alignment horizontal="center" vertical="center" shrinkToFit="1"/>
    </xf>
    <xf numFmtId="3" fontId="8" fillId="4" borderId="62" xfId="0" applyNumberFormat="1" applyFont="1" applyFill="1" applyBorder="1" applyAlignment="1">
      <alignment horizontal="right" shrinkToFit="1"/>
    </xf>
    <xf numFmtId="3" fontId="8" fillId="4" borderId="63" xfId="0" applyNumberFormat="1" applyFont="1" applyFill="1" applyBorder="1" applyAlignment="1">
      <alignment horizontal="right" shrinkToFit="1"/>
    </xf>
    <xf numFmtId="0" fontId="1" fillId="4" borderId="0" xfId="0" applyFont="1" applyFill="1" applyAlignment="1">
      <alignment horizontal="center" vertical="center"/>
    </xf>
    <xf numFmtId="3" fontId="8" fillId="4" borderId="107" xfId="0" applyNumberFormat="1" applyFont="1" applyFill="1" applyBorder="1" applyAlignment="1">
      <alignment horizontal="right" shrinkToFit="1"/>
    </xf>
    <xf numFmtId="3" fontId="8" fillId="4" borderId="110" xfId="0" applyNumberFormat="1" applyFont="1" applyFill="1" applyBorder="1" applyAlignment="1">
      <alignment horizontal="right" shrinkToFit="1"/>
    </xf>
    <xf numFmtId="3" fontId="8" fillId="4" borderId="112" xfId="0" applyNumberFormat="1" applyFont="1" applyFill="1" applyBorder="1" applyAlignment="1">
      <alignment horizontal="right" shrinkToFit="1"/>
    </xf>
    <xf numFmtId="3" fontId="8" fillId="4" borderId="111" xfId="0" applyNumberFormat="1" applyFont="1" applyFill="1" applyBorder="1" applyAlignment="1">
      <alignment horizontal="right" shrinkToFit="1"/>
    </xf>
    <xf numFmtId="3" fontId="8" fillId="0" borderId="82" xfId="0" applyNumberFormat="1" applyFont="1" applyBorder="1" applyAlignment="1">
      <alignment horizontal="right" shrinkToFit="1"/>
    </xf>
    <xf numFmtId="3" fontId="8" fillId="0" borderId="48" xfId="0" applyNumberFormat="1" applyFont="1" applyBorder="1" applyAlignment="1">
      <alignment horizontal="center" vertical="center" shrinkToFit="1"/>
    </xf>
    <xf numFmtId="3" fontId="8" fillId="0" borderId="85" xfId="0" applyNumberFormat="1" applyFont="1" applyBorder="1" applyAlignment="1">
      <alignment horizontal="right" shrinkToFit="1"/>
    </xf>
    <xf numFmtId="3" fontId="8" fillId="0" borderId="48" xfId="0" applyNumberFormat="1" applyFont="1" applyBorder="1" applyAlignment="1">
      <alignment horizontal="center" shrinkToFit="1"/>
    </xf>
    <xf numFmtId="3" fontId="8" fillId="4" borderId="81" xfId="0" applyNumberFormat="1" applyFont="1" applyFill="1" applyBorder="1" applyAlignment="1">
      <alignment horizontal="right" shrinkToFit="1"/>
    </xf>
    <xf numFmtId="3" fontId="8" fillId="7" borderId="40" xfId="0" applyNumberFormat="1" applyFont="1" applyFill="1" applyBorder="1" applyAlignment="1">
      <alignment horizontal="right" shrinkToFit="1"/>
    </xf>
    <xf numFmtId="3" fontId="8" fillId="8" borderId="42" xfId="0" applyNumberFormat="1" applyFont="1" applyFill="1" applyBorder="1" applyAlignment="1">
      <alignment horizontal="center" vertical="center" shrinkToFit="1"/>
    </xf>
    <xf numFmtId="3" fontId="8" fillId="0" borderId="49" xfId="0" applyNumberFormat="1" applyFont="1" applyBorder="1" applyAlignment="1">
      <alignment horizontal="center" vertical="center" shrinkToFit="1"/>
    </xf>
    <xf numFmtId="3" fontId="8" fillId="0" borderId="56" xfId="0" applyNumberFormat="1" applyFont="1" applyBorder="1" applyAlignment="1">
      <alignment horizontal="center" vertical="center" shrinkToFit="1"/>
    </xf>
    <xf numFmtId="3" fontId="8" fillId="7" borderId="56" xfId="0" applyNumberFormat="1" applyFont="1" applyFill="1" applyBorder="1" applyAlignment="1">
      <alignment horizontal="right" shrinkToFit="1"/>
    </xf>
    <xf numFmtId="3" fontId="8" fillId="6" borderId="46" xfId="0" applyNumberFormat="1" applyFont="1" applyFill="1" applyBorder="1" applyAlignment="1">
      <alignment horizontal="right" shrinkToFit="1"/>
    </xf>
    <xf numFmtId="3" fontId="8" fillId="0" borderId="115" xfId="0" applyNumberFormat="1" applyFont="1" applyBorder="1" applyAlignment="1">
      <alignment horizontal="right" shrinkToFit="1"/>
    </xf>
    <xf numFmtId="3" fontId="8" fillId="0" borderId="114" xfId="0" applyNumberFormat="1" applyFont="1" applyBorder="1" applyAlignment="1">
      <alignment horizontal="right" shrinkToFit="1"/>
    </xf>
    <xf numFmtId="3" fontId="8" fillId="0" borderId="95" xfId="0" applyNumberFormat="1" applyFont="1" applyBorder="1" applyAlignment="1">
      <alignment horizontal="right" shrinkToFit="1"/>
    </xf>
    <xf numFmtId="3" fontId="8" fillId="0" borderId="30" xfId="0" applyNumberFormat="1" applyFont="1" applyBorder="1" applyAlignment="1">
      <alignment horizontal="right" shrinkToFit="1"/>
    </xf>
    <xf numFmtId="3" fontId="8" fillId="0" borderId="123" xfId="0" applyNumberFormat="1" applyFont="1" applyBorder="1" applyAlignment="1">
      <alignment horizontal="right" shrinkToFit="1"/>
    </xf>
    <xf numFmtId="0" fontId="1" fillId="2" borderId="124" xfId="0" applyFont="1" applyFill="1" applyBorder="1" applyAlignment="1">
      <alignment horizontal="center" vertical="center"/>
    </xf>
    <xf numFmtId="0" fontId="1" fillId="2" borderId="127" xfId="0" applyFont="1" applyFill="1" applyBorder="1" applyAlignment="1">
      <alignment horizontal="center" vertical="center"/>
    </xf>
    <xf numFmtId="0" fontId="1" fillId="2" borderId="129" xfId="0" applyFont="1" applyFill="1" applyBorder="1" applyAlignment="1">
      <alignment horizontal="center" vertical="center"/>
    </xf>
    <xf numFmtId="0" fontId="1" fillId="3" borderId="126" xfId="0" applyFont="1" applyFill="1" applyBorder="1" applyAlignment="1">
      <alignment horizontal="center" vertical="center"/>
    </xf>
    <xf numFmtId="0" fontId="1" fillId="3" borderId="128" xfId="0" applyFont="1" applyFill="1" applyBorder="1" applyAlignment="1">
      <alignment horizontal="center" vertical="center"/>
    </xf>
    <xf numFmtId="0" fontId="1" fillId="3" borderId="127" xfId="0" applyFont="1" applyFill="1" applyBorder="1" applyAlignment="1">
      <alignment horizontal="center" vertical="center"/>
    </xf>
    <xf numFmtId="0" fontId="1" fillId="2" borderId="126" xfId="0" applyFont="1" applyFill="1" applyBorder="1" applyAlignment="1">
      <alignment horizontal="center" vertical="center"/>
    </xf>
    <xf numFmtId="0" fontId="1" fillId="11" borderId="127" xfId="0" applyFont="1" applyFill="1" applyBorder="1" applyAlignment="1">
      <alignment horizontal="center" vertical="center"/>
    </xf>
    <xf numFmtId="0" fontId="1" fillId="11" borderId="129" xfId="0" applyFont="1" applyFill="1" applyBorder="1" applyAlignment="1">
      <alignment horizontal="center" vertical="center"/>
    </xf>
    <xf numFmtId="0" fontId="1" fillId="2" borderId="130" xfId="0" applyFont="1" applyFill="1" applyBorder="1" applyAlignment="1">
      <alignment horizontal="center" vertical="center"/>
    </xf>
    <xf numFmtId="0" fontId="1" fillId="11" borderId="125" xfId="0" applyFont="1" applyFill="1" applyBorder="1" applyAlignment="1">
      <alignment horizontal="center" vertical="center"/>
    </xf>
    <xf numFmtId="0" fontId="1" fillId="3" borderId="132" xfId="0" applyFont="1" applyFill="1" applyBorder="1" applyAlignment="1">
      <alignment horizontal="center" vertical="center"/>
    </xf>
    <xf numFmtId="3" fontId="8" fillId="0" borderId="133" xfId="0" applyNumberFormat="1" applyFont="1" applyBorder="1" applyAlignment="1">
      <alignment horizontal="right" shrinkToFit="1"/>
    </xf>
    <xf numFmtId="3" fontId="8" fillId="0" borderId="134" xfId="0" applyNumberFormat="1" applyFont="1" applyBorder="1" applyAlignment="1">
      <alignment horizontal="right" shrinkToFit="1"/>
    </xf>
    <xf numFmtId="3" fontId="8" fillId="0" borderId="135" xfId="0" applyNumberFormat="1" applyFont="1" applyBorder="1" applyAlignment="1">
      <alignment horizontal="right" shrinkToFit="1"/>
    </xf>
    <xf numFmtId="3" fontId="8" fillId="0" borderId="107" xfId="0" applyNumberFormat="1" applyFont="1" applyBorder="1" applyAlignment="1">
      <alignment horizontal="right" shrinkToFit="1"/>
    </xf>
    <xf numFmtId="3" fontId="8" fillId="0" borderId="136" xfId="0" applyNumberFormat="1" applyFont="1" applyBorder="1" applyAlignment="1">
      <alignment horizontal="right" shrinkToFit="1"/>
    </xf>
    <xf numFmtId="3" fontId="8" fillId="0" borderId="137" xfId="0" applyNumberFormat="1" applyFont="1" applyBorder="1" applyAlignment="1">
      <alignment horizontal="right" shrinkToFit="1"/>
    </xf>
    <xf numFmtId="3" fontId="8" fillId="0" borderId="111" xfId="0" applyNumberFormat="1" applyFont="1" applyBorder="1" applyAlignment="1">
      <alignment horizontal="right" shrinkToFit="1"/>
    </xf>
    <xf numFmtId="3" fontId="8" fillId="0" borderId="110" xfId="0" applyNumberFormat="1" applyFont="1" applyBorder="1" applyAlignment="1">
      <alignment horizontal="right" shrinkToFit="1"/>
    </xf>
    <xf numFmtId="0" fontId="7" fillId="0" borderId="0" xfId="0" applyFont="1" applyAlignment="1">
      <alignment vertical="center" shrinkToFit="1"/>
    </xf>
    <xf numFmtId="0" fontId="1" fillId="0" borderId="98" xfId="0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right" shrinkToFit="1"/>
    </xf>
    <xf numFmtId="3" fontId="1" fillId="0" borderId="40" xfId="0" applyNumberFormat="1" applyFont="1" applyBorder="1" applyAlignment="1">
      <alignment horizontal="right" shrinkToFit="1"/>
    </xf>
    <xf numFmtId="3" fontId="1" fillId="0" borderId="55" xfId="0" applyNumberFormat="1" applyFont="1" applyBorder="1" applyAlignment="1">
      <alignment horizontal="right" shrinkToFit="1"/>
    </xf>
    <xf numFmtId="3" fontId="1" fillId="0" borderId="42" xfId="0" applyNumberFormat="1" applyFont="1" applyBorder="1" applyAlignment="1">
      <alignment horizontal="right" shrinkToFit="1"/>
    </xf>
    <xf numFmtId="3" fontId="1" fillId="0" borderId="43" xfId="0" applyNumberFormat="1" applyFont="1" applyBorder="1" applyAlignment="1">
      <alignment horizontal="right" shrinkToFit="1"/>
    </xf>
    <xf numFmtId="3" fontId="1" fillId="0" borderId="41" xfId="0" applyNumberFormat="1" applyFont="1" applyBorder="1" applyAlignment="1">
      <alignment horizontal="right" shrinkToFit="1"/>
    </xf>
    <xf numFmtId="3" fontId="1" fillId="0" borderId="57" xfId="0" applyNumberFormat="1" applyFont="1" applyBorder="1" applyAlignment="1">
      <alignment horizontal="right" shrinkToFit="1"/>
    </xf>
    <xf numFmtId="3" fontId="1" fillId="0" borderId="44" xfId="0" applyNumberFormat="1" applyFont="1" applyBorder="1" applyAlignment="1">
      <alignment horizontal="right" shrinkToFit="1"/>
    </xf>
    <xf numFmtId="3" fontId="1" fillId="0" borderId="45" xfId="0" applyNumberFormat="1" applyFont="1" applyBorder="1" applyAlignment="1">
      <alignment horizontal="right" shrinkToFit="1"/>
    </xf>
    <xf numFmtId="3" fontId="1" fillId="0" borderId="54" xfId="0" applyNumberFormat="1" applyFont="1" applyBorder="1" applyAlignment="1">
      <alignment horizontal="right" shrinkToFit="1"/>
    </xf>
    <xf numFmtId="3" fontId="1" fillId="0" borderId="46" xfId="0" applyNumberFormat="1" applyFont="1" applyBorder="1" applyAlignment="1">
      <alignment horizontal="right" shrinkToFit="1"/>
    </xf>
    <xf numFmtId="3" fontId="1" fillId="0" borderId="47" xfId="0" applyNumberFormat="1" applyFont="1" applyBorder="1" applyAlignment="1">
      <alignment horizontal="right" shrinkToFit="1"/>
    </xf>
    <xf numFmtId="3" fontId="1" fillId="0" borderId="56" xfId="0" applyNumberFormat="1" applyFont="1" applyBorder="1" applyAlignment="1">
      <alignment horizontal="right" shrinkToFit="1"/>
    </xf>
    <xf numFmtId="3" fontId="1" fillId="0" borderId="48" xfId="0" applyNumberFormat="1" applyFont="1" applyBorder="1" applyAlignment="1">
      <alignment horizontal="right" shrinkToFit="1"/>
    </xf>
    <xf numFmtId="3" fontId="1" fillId="0" borderId="49" xfId="0" applyNumberFormat="1" applyFont="1" applyBorder="1" applyAlignment="1">
      <alignment horizontal="right" shrinkToFit="1"/>
    </xf>
    <xf numFmtId="3" fontId="1" fillId="0" borderId="0" xfId="0" applyNumberFormat="1" applyFont="1" applyAlignment="1">
      <alignment horizontal="right" shrinkToFit="1"/>
    </xf>
    <xf numFmtId="3" fontId="1" fillId="0" borderId="51" xfId="0" applyNumberFormat="1" applyFont="1" applyBorder="1" applyAlignment="1">
      <alignment horizontal="right" shrinkToFit="1"/>
    </xf>
    <xf numFmtId="3" fontId="1" fillId="0" borderId="52" xfId="0" applyNumberFormat="1" applyFont="1" applyBorder="1" applyAlignment="1">
      <alignment horizontal="right" shrinkToFit="1"/>
    </xf>
    <xf numFmtId="3" fontId="1" fillId="0" borderId="53" xfId="0" applyNumberFormat="1" applyFont="1" applyBorder="1" applyAlignment="1">
      <alignment horizontal="right" shrinkToFit="1"/>
    </xf>
    <xf numFmtId="3" fontId="1" fillId="0" borderId="133" xfId="0" applyNumberFormat="1" applyFont="1" applyBorder="1" applyAlignment="1">
      <alignment horizontal="right" shrinkToFit="1"/>
    </xf>
    <xf numFmtId="3" fontId="1" fillId="0" borderId="134" xfId="0" applyNumberFormat="1" applyFont="1" applyBorder="1" applyAlignment="1">
      <alignment horizontal="right" shrinkToFit="1"/>
    </xf>
    <xf numFmtId="3" fontId="1" fillId="0" borderId="135" xfId="0" applyNumberFormat="1" applyFont="1" applyBorder="1" applyAlignment="1">
      <alignment horizontal="right" shrinkToFit="1"/>
    </xf>
    <xf numFmtId="3" fontId="1" fillId="0" borderId="58" xfId="0" applyNumberFormat="1" applyFont="1" applyBorder="1" applyAlignment="1">
      <alignment horizontal="right" shrinkToFit="1"/>
    </xf>
    <xf numFmtId="3" fontId="1" fillId="0" borderId="59" xfId="0" applyNumberFormat="1" applyFont="1" applyBorder="1" applyAlignment="1">
      <alignment horizontal="right" shrinkToFit="1"/>
    </xf>
    <xf numFmtId="3" fontId="1" fillId="0" borderId="60" xfId="0" applyNumberFormat="1" applyFont="1" applyBorder="1" applyAlignment="1">
      <alignment horizontal="right" shrinkToFit="1"/>
    </xf>
    <xf numFmtId="3" fontId="1" fillId="0" borderId="58" xfId="0" applyNumberFormat="1" applyFont="1" applyBorder="1" applyAlignment="1">
      <alignment horizontal="center" vertical="center" shrinkToFit="1"/>
    </xf>
    <xf numFmtId="3" fontId="1" fillId="0" borderId="59" xfId="0" applyNumberFormat="1" applyFont="1" applyBorder="1" applyAlignment="1">
      <alignment horizontal="center" vertical="center" shrinkToFit="1"/>
    </xf>
    <xf numFmtId="3" fontId="1" fillId="0" borderId="60" xfId="0" applyNumberFormat="1" applyFont="1" applyBorder="1" applyAlignment="1">
      <alignment horizontal="center" vertical="center" shrinkToFit="1"/>
    </xf>
    <xf numFmtId="3" fontId="1" fillId="0" borderId="55" xfId="0" applyNumberFormat="1" applyFont="1" applyBorder="1" applyAlignment="1">
      <alignment horizontal="center" vertical="center" shrinkToFit="1"/>
    </xf>
    <xf numFmtId="3" fontId="1" fillId="0" borderId="42" xfId="0" applyNumberFormat="1" applyFont="1" applyBorder="1" applyAlignment="1">
      <alignment horizontal="center" vertical="center" shrinkToFit="1"/>
    </xf>
    <xf numFmtId="3" fontId="1" fillId="0" borderId="43" xfId="0" applyNumberFormat="1" applyFont="1" applyBorder="1" applyAlignment="1">
      <alignment horizontal="center" vertical="center" shrinkToFit="1"/>
    </xf>
    <xf numFmtId="3" fontId="1" fillId="0" borderId="50" xfId="0" applyNumberFormat="1" applyFont="1" applyBorder="1" applyAlignment="1">
      <alignment horizontal="center" vertical="center" shrinkToFit="1"/>
    </xf>
    <xf numFmtId="3" fontId="1" fillId="0" borderId="40" xfId="0" applyNumberFormat="1" applyFont="1" applyBorder="1" applyAlignment="1">
      <alignment horizontal="center" vertical="center" shrinkToFit="1"/>
    </xf>
    <xf numFmtId="3" fontId="1" fillId="0" borderId="62" xfId="0" applyNumberFormat="1" applyFont="1" applyBorder="1" applyAlignment="1">
      <alignment horizontal="right" shrinkToFit="1"/>
    </xf>
    <xf numFmtId="3" fontId="1" fillId="0" borderId="63" xfId="0" applyNumberFormat="1" applyFont="1" applyBorder="1" applyAlignment="1">
      <alignment horizontal="right" shrinkToFit="1"/>
    </xf>
    <xf numFmtId="3" fontId="1" fillId="0" borderId="64" xfId="0" applyNumberFormat="1" applyFont="1" applyBorder="1" applyAlignment="1">
      <alignment horizontal="right" shrinkToFit="1"/>
    </xf>
    <xf numFmtId="3" fontId="8" fillId="4" borderId="50" xfId="0" applyNumberFormat="1" applyFont="1" applyFill="1" applyBorder="1" applyAlignment="1">
      <alignment horizontal="center" vertical="center" shrinkToFit="1"/>
    </xf>
    <xf numFmtId="3" fontId="8" fillId="4" borderId="40" xfId="0" applyNumberFormat="1" applyFont="1" applyFill="1" applyBorder="1" applyAlignment="1">
      <alignment horizontal="center" vertical="center" shrinkToFit="1"/>
    </xf>
    <xf numFmtId="3" fontId="8" fillId="4" borderId="41" xfId="0" applyNumberFormat="1" applyFont="1" applyFill="1" applyBorder="1" applyAlignment="1">
      <alignment horizontal="center" vertical="center" shrinkToFit="1"/>
    </xf>
    <xf numFmtId="3" fontId="8" fillId="4" borderId="55" xfId="0" applyNumberFormat="1" applyFont="1" applyFill="1" applyBorder="1" applyAlignment="1">
      <alignment horizontal="center" vertical="center" shrinkToFit="1"/>
    </xf>
    <xf numFmtId="3" fontId="8" fillId="4" borderId="42" xfId="0" applyNumberFormat="1" applyFont="1" applyFill="1" applyBorder="1" applyAlignment="1">
      <alignment horizontal="center" vertical="center" shrinkToFit="1"/>
    </xf>
    <xf numFmtId="3" fontId="8" fillId="4" borderId="43" xfId="0" applyNumberFormat="1" applyFont="1" applyFill="1" applyBorder="1" applyAlignment="1">
      <alignment horizontal="center" vertical="center" shrinkToFit="1"/>
    </xf>
    <xf numFmtId="3" fontId="8" fillId="4" borderId="60" xfId="0" applyNumberFormat="1" applyFont="1" applyFill="1" applyBorder="1" applyAlignment="1">
      <alignment horizontal="right" shrinkToFit="1"/>
    </xf>
    <xf numFmtId="3" fontId="8" fillId="4" borderId="64" xfId="0" applyNumberFormat="1" applyFont="1" applyFill="1" applyBorder="1" applyAlignment="1">
      <alignment horizontal="right" shrinkToFit="1"/>
    </xf>
    <xf numFmtId="3" fontId="8" fillId="7" borderId="53" xfId="0" applyNumberFormat="1" applyFont="1" applyFill="1" applyBorder="1" applyAlignment="1">
      <alignment horizontal="right" shrinkToFit="1"/>
    </xf>
    <xf numFmtId="3" fontId="8" fillId="9" borderId="42" xfId="0" applyNumberFormat="1" applyFont="1" applyFill="1" applyBorder="1" applyAlignment="1">
      <alignment horizontal="right" shrinkToFit="1"/>
    </xf>
    <xf numFmtId="3" fontId="8" fillId="7" borderId="55" xfId="0" applyNumberFormat="1" applyFont="1" applyFill="1" applyBorder="1" applyAlignment="1">
      <alignment horizontal="center" vertical="center" shrinkToFit="1"/>
    </xf>
    <xf numFmtId="3" fontId="8" fillId="7" borderId="42" xfId="0" applyNumberFormat="1" applyFont="1" applyFill="1" applyBorder="1" applyAlignment="1">
      <alignment horizontal="center" vertical="center" shrinkToFit="1"/>
    </xf>
    <xf numFmtId="3" fontId="8" fillId="7" borderId="43" xfId="0" applyNumberFormat="1" applyFont="1" applyFill="1" applyBorder="1" applyAlignment="1">
      <alignment horizontal="center" vertical="center" shrinkToFit="1"/>
    </xf>
    <xf numFmtId="3" fontId="8" fillId="0" borderId="84" xfId="0" applyNumberFormat="1" applyFont="1" applyBorder="1" applyAlignment="1">
      <alignment horizontal="center" vertical="center" shrinkToFit="1"/>
    </xf>
    <xf numFmtId="3" fontId="8" fillId="0" borderId="50" xfId="0" applyNumberFormat="1" applyFont="1" applyFill="1" applyBorder="1" applyAlignment="1">
      <alignment horizontal="right" shrinkToFit="1"/>
    </xf>
    <xf numFmtId="3" fontId="8" fillId="0" borderId="40" xfId="0" applyNumberFormat="1" applyFont="1" applyFill="1" applyBorder="1" applyAlignment="1">
      <alignment horizontal="right" shrinkToFit="1"/>
    </xf>
    <xf numFmtId="3" fontId="8" fillId="0" borderId="41" xfId="0" applyNumberFormat="1" applyFont="1" applyFill="1" applyBorder="1" applyAlignment="1">
      <alignment horizontal="right" shrinkToFit="1"/>
    </xf>
    <xf numFmtId="3" fontId="1" fillId="0" borderId="50" xfId="0" applyNumberFormat="1" applyFont="1" applyFill="1" applyBorder="1" applyAlignment="1">
      <alignment horizontal="right" shrinkToFit="1"/>
    </xf>
    <xf numFmtId="3" fontId="1" fillId="0" borderId="40" xfId="0" applyNumberFormat="1" applyFont="1" applyFill="1" applyBorder="1" applyAlignment="1">
      <alignment horizontal="right" shrinkToFit="1"/>
    </xf>
    <xf numFmtId="3" fontId="1" fillId="0" borderId="41" xfId="0" applyNumberFormat="1" applyFont="1" applyFill="1" applyBorder="1" applyAlignment="1">
      <alignment horizontal="right" shrinkToFit="1"/>
    </xf>
    <xf numFmtId="3" fontId="8" fillId="0" borderId="55" xfId="0" applyNumberFormat="1" applyFont="1" applyFill="1" applyBorder="1" applyAlignment="1">
      <alignment horizontal="right" shrinkToFit="1"/>
    </xf>
    <xf numFmtId="3" fontId="8" fillId="0" borderId="42" xfId="0" applyNumberFormat="1" applyFont="1" applyFill="1" applyBorder="1" applyAlignment="1">
      <alignment horizontal="right" shrinkToFit="1"/>
    </xf>
    <xf numFmtId="3" fontId="8" fillId="0" borderId="43" xfId="0" applyNumberFormat="1" applyFont="1" applyFill="1" applyBorder="1" applyAlignment="1">
      <alignment horizontal="right" shrinkToFit="1"/>
    </xf>
    <xf numFmtId="3" fontId="1" fillId="0" borderId="55" xfId="0" applyNumberFormat="1" applyFont="1" applyFill="1" applyBorder="1" applyAlignment="1">
      <alignment horizontal="right" shrinkToFit="1"/>
    </xf>
    <xf numFmtId="3" fontId="1" fillId="0" borderId="42" xfId="0" applyNumberFormat="1" applyFont="1" applyFill="1" applyBorder="1" applyAlignment="1">
      <alignment horizontal="right" shrinkToFit="1"/>
    </xf>
    <xf numFmtId="3" fontId="1" fillId="0" borderId="43" xfId="0" applyNumberFormat="1" applyFont="1" applyFill="1" applyBorder="1" applyAlignment="1">
      <alignment horizontal="right" shrinkToFit="1"/>
    </xf>
    <xf numFmtId="3" fontId="8" fillId="0" borderId="46" xfId="0" applyNumberFormat="1" applyFont="1" applyFill="1" applyBorder="1" applyAlignment="1">
      <alignment horizontal="right" shrinkToFit="1"/>
    </xf>
    <xf numFmtId="3" fontId="8" fillId="0" borderId="51" xfId="0" applyNumberFormat="1" applyFont="1" applyFill="1" applyBorder="1" applyAlignment="1">
      <alignment horizontal="right" shrinkToFit="1"/>
    </xf>
    <xf numFmtId="3" fontId="8" fillId="0" borderId="52" xfId="0" applyNumberFormat="1" applyFont="1" applyFill="1" applyBorder="1" applyAlignment="1">
      <alignment horizontal="right" shrinkToFit="1"/>
    </xf>
    <xf numFmtId="3" fontId="8" fillId="0" borderId="53" xfId="0" applyNumberFormat="1" applyFont="1" applyFill="1" applyBorder="1" applyAlignment="1">
      <alignment horizontal="right" shrinkToFit="1"/>
    </xf>
    <xf numFmtId="3" fontId="1" fillId="0" borderId="51" xfId="0" applyNumberFormat="1" applyFont="1" applyFill="1" applyBorder="1" applyAlignment="1">
      <alignment horizontal="right" shrinkToFit="1"/>
    </xf>
    <xf numFmtId="3" fontId="1" fillId="0" borderId="52" xfId="0" applyNumberFormat="1" applyFont="1" applyFill="1" applyBorder="1" applyAlignment="1">
      <alignment horizontal="right" shrinkToFit="1"/>
    </xf>
    <xf numFmtId="3" fontId="1" fillId="0" borderId="53" xfId="0" applyNumberFormat="1" applyFont="1" applyFill="1" applyBorder="1" applyAlignment="1">
      <alignment horizontal="right" shrinkToFit="1"/>
    </xf>
    <xf numFmtId="3" fontId="8" fillId="0" borderId="48" xfId="0" applyNumberFormat="1" applyFont="1" applyFill="1" applyBorder="1" applyAlignment="1">
      <alignment horizontal="right" shrinkToFit="1"/>
    </xf>
    <xf numFmtId="3" fontId="8" fillId="0" borderId="47" xfId="0" applyNumberFormat="1" applyFont="1" applyFill="1" applyBorder="1" applyAlignment="1">
      <alignment horizontal="right" shrinkToFit="1"/>
    </xf>
    <xf numFmtId="3" fontId="1" fillId="0" borderId="54" xfId="0" applyNumberFormat="1" applyFont="1" applyFill="1" applyBorder="1" applyAlignment="1">
      <alignment horizontal="right" shrinkToFit="1"/>
    </xf>
    <xf numFmtId="3" fontId="1" fillId="0" borderId="46" xfId="0" applyNumberFormat="1" applyFont="1" applyFill="1" applyBorder="1" applyAlignment="1">
      <alignment horizontal="right" shrinkToFit="1"/>
    </xf>
    <xf numFmtId="3" fontId="1" fillId="0" borderId="47" xfId="0" applyNumberFormat="1" applyFont="1" applyFill="1" applyBorder="1" applyAlignment="1">
      <alignment horizontal="right" shrinkToFit="1"/>
    </xf>
    <xf numFmtId="3" fontId="8" fillId="0" borderId="54" xfId="0" applyNumberFormat="1" applyFont="1" applyFill="1" applyBorder="1" applyAlignment="1">
      <alignment horizontal="right" shrinkToFit="1"/>
    </xf>
    <xf numFmtId="3" fontId="8" fillId="0" borderId="56" xfId="0" applyNumberFormat="1" applyFont="1" applyFill="1" applyBorder="1" applyAlignment="1">
      <alignment horizontal="right" shrinkToFit="1"/>
    </xf>
    <xf numFmtId="3" fontId="8" fillId="0" borderId="49" xfId="0" applyNumberFormat="1" applyFont="1" applyFill="1" applyBorder="1" applyAlignment="1">
      <alignment horizontal="right" shrinkToFit="1"/>
    </xf>
    <xf numFmtId="3" fontId="1" fillId="0" borderId="56" xfId="0" applyNumberFormat="1" applyFont="1" applyFill="1" applyBorder="1" applyAlignment="1">
      <alignment horizontal="right" shrinkToFit="1"/>
    </xf>
    <xf numFmtId="3" fontId="1" fillId="0" borderId="49" xfId="0" applyNumberFormat="1" applyFont="1" applyFill="1" applyBorder="1" applyAlignment="1">
      <alignment horizontal="right" shrinkToFit="1"/>
    </xf>
    <xf numFmtId="3" fontId="8" fillId="0" borderId="93" xfId="0" applyNumberFormat="1" applyFont="1" applyFill="1" applyBorder="1" applyAlignment="1">
      <alignment horizontal="right" shrinkToFit="1"/>
    </xf>
    <xf numFmtId="3" fontId="8" fillId="0" borderId="123" xfId="0" applyNumberFormat="1" applyFont="1" applyFill="1" applyBorder="1" applyAlignment="1">
      <alignment horizontal="right" shrinkToFit="1"/>
    </xf>
    <xf numFmtId="3" fontId="8" fillId="0" borderId="114" xfId="0" applyNumberFormat="1" applyFont="1" applyFill="1" applyBorder="1" applyAlignment="1">
      <alignment horizontal="right" shrinkToFit="1"/>
    </xf>
    <xf numFmtId="3" fontId="8" fillId="0" borderId="57" xfId="0" applyNumberFormat="1" applyFont="1" applyFill="1" applyBorder="1" applyAlignment="1">
      <alignment horizontal="right" shrinkToFit="1"/>
    </xf>
    <xf numFmtId="3" fontId="8" fillId="0" borderId="44" xfId="0" applyNumberFormat="1" applyFont="1" applyFill="1" applyBorder="1" applyAlignment="1">
      <alignment horizontal="right" shrinkToFit="1"/>
    </xf>
    <xf numFmtId="3" fontId="8" fillId="0" borderId="45" xfId="0" applyNumberFormat="1" applyFont="1" applyFill="1" applyBorder="1" applyAlignment="1">
      <alignment horizontal="right" shrinkToFit="1"/>
    </xf>
    <xf numFmtId="3" fontId="1" fillId="0" borderId="57" xfId="0" applyNumberFormat="1" applyFont="1" applyFill="1" applyBorder="1" applyAlignment="1">
      <alignment horizontal="right" shrinkToFit="1"/>
    </xf>
    <xf numFmtId="3" fontId="1" fillId="0" borderId="44" xfId="0" applyNumberFormat="1" applyFont="1" applyFill="1" applyBorder="1" applyAlignment="1">
      <alignment horizontal="right" shrinkToFit="1"/>
    </xf>
    <xf numFmtId="3" fontId="1" fillId="0" borderId="45" xfId="0" applyNumberFormat="1" applyFont="1" applyFill="1" applyBorder="1" applyAlignment="1">
      <alignment horizontal="right" shrinkToFit="1"/>
    </xf>
    <xf numFmtId="3" fontId="8" fillId="0" borderId="50" xfId="0" applyNumberFormat="1" applyFont="1" applyFill="1" applyBorder="1" applyAlignment="1">
      <alignment horizontal="center" vertical="center" shrinkToFit="1"/>
    </xf>
    <xf numFmtId="3" fontId="8" fillId="0" borderId="40" xfId="0" applyNumberFormat="1" applyFont="1" applyFill="1" applyBorder="1" applyAlignment="1">
      <alignment horizontal="center" vertical="center" shrinkToFit="1"/>
    </xf>
    <xf numFmtId="3" fontId="8" fillId="0" borderId="41" xfId="0" applyNumberFormat="1" applyFont="1" applyFill="1" applyBorder="1" applyAlignment="1">
      <alignment horizontal="center" vertical="center" shrinkToFit="1"/>
    </xf>
    <xf numFmtId="0" fontId="1" fillId="0" borderId="10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textRotation="90" wrapText="1"/>
    </xf>
    <xf numFmtId="0" fontId="11" fillId="9" borderId="13" xfId="0" applyFont="1" applyFill="1" applyBorder="1" applyAlignment="1">
      <alignment horizontal="center" vertical="center" textRotation="90" wrapText="1"/>
    </xf>
    <xf numFmtId="0" fontId="11" fillId="9" borderId="14" xfId="0" applyFont="1" applyFill="1" applyBorder="1" applyAlignment="1">
      <alignment horizontal="center" vertical="center" textRotation="90" wrapText="1"/>
    </xf>
    <xf numFmtId="0" fontId="1" fillId="0" borderId="9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textRotation="90" wrapText="1"/>
    </xf>
    <xf numFmtId="0" fontId="9" fillId="0" borderId="13" xfId="0" applyFont="1" applyBorder="1" applyAlignment="1">
      <alignment horizontal="center" vertical="center" textRotation="90"/>
    </xf>
    <xf numFmtId="0" fontId="9" fillId="0" borderId="14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textRotation="90"/>
    </xf>
    <xf numFmtId="0" fontId="5" fillId="0" borderId="13" xfId="0" applyFont="1" applyBorder="1" applyAlignment="1">
      <alignment horizontal="center" vertical="center" textRotation="90"/>
    </xf>
    <xf numFmtId="0" fontId="5" fillId="0" borderId="14" xfId="0" applyFont="1" applyBorder="1" applyAlignment="1">
      <alignment horizontal="center" vertical="center" textRotation="90"/>
    </xf>
    <xf numFmtId="0" fontId="1" fillId="3" borderId="70" xfId="0" applyFont="1" applyFill="1" applyBorder="1" applyAlignment="1">
      <alignment horizontal="center" vertical="center"/>
    </xf>
    <xf numFmtId="0" fontId="1" fillId="3" borderId="72" xfId="0" applyFont="1" applyFill="1" applyBorder="1" applyAlignment="1">
      <alignment horizontal="center" vertical="center"/>
    </xf>
    <xf numFmtId="0" fontId="1" fillId="3" borderId="69" xfId="0" applyFont="1" applyFill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3" borderId="65" xfId="0" applyFont="1" applyFill="1" applyBorder="1" applyAlignment="1">
      <alignment horizontal="center" vertical="center"/>
    </xf>
    <xf numFmtId="0" fontId="1" fillId="3" borderId="66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" borderId="126" xfId="0" applyFont="1" applyFill="1" applyBorder="1" applyAlignment="1">
      <alignment horizontal="center" vertical="center"/>
    </xf>
    <xf numFmtId="0" fontId="1" fillId="3" borderId="127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20" xfId="0" applyFont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1" fillId="3" borderId="68" xfId="0" applyFont="1" applyFill="1" applyBorder="1" applyAlignment="1">
      <alignment horizontal="center" vertical="center"/>
    </xf>
    <xf numFmtId="0" fontId="1" fillId="10" borderId="68" xfId="0" applyFont="1" applyFill="1" applyBorder="1" applyAlignment="1">
      <alignment horizontal="center" vertical="center"/>
    </xf>
    <xf numFmtId="0" fontId="1" fillId="10" borderId="67" xfId="0" applyFont="1" applyFill="1" applyBorder="1" applyAlignment="1">
      <alignment horizontal="center" vertical="center"/>
    </xf>
    <xf numFmtId="0" fontId="1" fillId="6" borderId="97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0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18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14" fontId="1" fillId="0" borderId="76" xfId="0" applyNumberFormat="1" applyFont="1" applyBorder="1" applyAlignment="1">
      <alignment horizontal="center" vertical="center"/>
    </xf>
    <xf numFmtId="14" fontId="1" fillId="0" borderId="77" xfId="0" applyNumberFormat="1" applyFont="1" applyBorder="1" applyAlignment="1">
      <alignment horizontal="center" vertical="center"/>
    </xf>
    <xf numFmtId="0" fontId="10" fillId="0" borderId="1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0" fillId="0" borderId="87" xfId="0" applyFont="1" applyBorder="1" applyAlignment="1">
      <alignment horizontal="center" vertical="center" shrinkToFit="1"/>
    </xf>
    <xf numFmtId="0" fontId="12" fillId="0" borderId="87" xfId="0" applyFont="1" applyBorder="1" applyAlignment="1">
      <alignment horizontal="center" vertical="center" shrinkToFit="1"/>
    </xf>
    <xf numFmtId="0" fontId="1" fillId="0" borderId="87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14" fontId="15" fillId="0" borderId="0" xfId="0" applyNumberFormat="1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3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106" xfId="0" applyFont="1" applyBorder="1" applyAlignment="1">
      <alignment horizontal="center" vertical="center" wrapText="1"/>
    </xf>
    <xf numFmtId="0" fontId="1" fillId="0" borderId="105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 textRotation="90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12" borderId="97" xfId="0" applyFont="1" applyFill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103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87" xfId="0" applyFon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0" fontId="1" fillId="2" borderId="124" xfId="0" applyFont="1" applyFill="1" applyBorder="1" applyAlignment="1">
      <alignment horizontal="center" vertical="center"/>
    </xf>
    <xf numFmtId="0" fontId="1" fillId="2" borderId="125" xfId="0" applyFont="1" applyFill="1" applyBorder="1" applyAlignment="1">
      <alignment horizontal="center" vertical="center"/>
    </xf>
    <xf numFmtId="0" fontId="1" fillId="3" borderId="124" xfId="0" applyFont="1" applyFill="1" applyBorder="1" applyAlignment="1">
      <alignment horizontal="center" vertical="center"/>
    </xf>
    <xf numFmtId="0" fontId="1" fillId="3" borderId="129" xfId="0" applyFont="1" applyFill="1" applyBorder="1" applyAlignment="1">
      <alignment horizontal="center" vertical="center"/>
    </xf>
    <xf numFmtId="0" fontId="1" fillId="6" borderId="87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3" borderId="128" xfId="0" applyFont="1" applyFill="1" applyBorder="1" applyAlignment="1">
      <alignment horizontal="center" vertical="center"/>
    </xf>
    <xf numFmtId="0" fontId="1" fillId="2" borderId="12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textRotation="90"/>
    </xf>
    <xf numFmtId="0" fontId="4" fillId="0" borderId="13" xfId="0" applyFont="1" applyBorder="1" applyAlignment="1">
      <alignment horizontal="center" vertical="center" textRotation="90"/>
    </xf>
    <xf numFmtId="0" fontId="4" fillId="0" borderId="14" xfId="0" applyFont="1" applyBorder="1" applyAlignment="1">
      <alignment horizontal="center" vertical="center" textRotation="90"/>
    </xf>
    <xf numFmtId="0" fontId="1" fillId="0" borderId="119" xfId="0" applyFont="1" applyBorder="1" applyAlignment="1">
      <alignment horizontal="center" vertical="center"/>
    </xf>
    <xf numFmtId="0" fontId="14" fillId="0" borderId="116" xfId="0" applyFont="1" applyBorder="1" applyAlignment="1">
      <alignment horizontal="center" vertical="center"/>
    </xf>
    <xf numFmtId="0" fontId="14" fillId="0" borderId="98" xfId="0" applyFont="1" applyBorder="1" applyAlignment="1">
      <alignment horizontal="center" vertical="center"/>
    </xf>
    <xf numFmtId="0" fontId="14" fillId="0" borderId="117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3" fontId="8" fillId="7" borderId="50" xfId="0" applyNumberFormat="1" applyFont="1" applyFill="1" applyBorder="1" applyAlignment="1">
      <alignment horizontal="right" shrinkToFit="1"/>
    </xf>
    <xf numFmtId="3" fontId="8" fillId="7" borderId="55" xfId="0" applyNumberFormat="1" applyFont="1" applyFill="1" applyBorder="1" applyAlignment="1">
      <alignment horizontal="right" shrinkToFit="1"/>
    </xf>
    <xf numFmtId="3" fontId="8" fillId="7" borderId="42" xfId="0" applyNumberFormat="1" applyFont="1" applyFill="1" applyBorder="1" applyAlignment="1">
      <alignment horizontal="right" shrinkToFit="1"/>
    </xf>
    <xf numFmtId="3" fontId="8" fillId="6" borderId="59" xfId="0" applyNumberFormat="1" applyFont="1" applyFill="1" applyBorder="1" applyAlignment="1">
      <alignment horizontal="right" shrinkToFit="1"/>
    </xf>
    <xf numFmtId="3" fontId="8" fillId="6" borderId="42" xfId="0" applyNumberFormat="1" applyFont="1" applyFill="1" applyBorder="1" applyAlignment="1">
      <alignment horizontal="right" shrinkToFit="1"/>
    </xf>
    <xf numFmtId="3" fontId="8" fillId="8" borderId="50" xfId="0" applyNumberFormat="1" applyFont="1" applyFill="1" applyBorder="1" applyAlignment="1">
      <alignment horizontal="right" shrinkToFit="1"/>
    </xf>
    <xf numFmtId="3" fontId="8" fillId="8" borderId="40" xfId="0" applyNumberFormat="1" applyFont="1" applyFill="1" applyBorder="1" applyAlignment="1">
      <alignment horizontal="right" shrinkToFit="1"/>
    </xf>
    <xf numFmtId="3" fontId="8" fillId="8" borderId="41" xfId="0" applyNumberFormat="1" applyFont="1" applyFill="1" applyBorder="1" applyAlignment="1">
      <alignment horizontal="right" shrinkToFit="1"/>
    </xf>
    <xf numFmtId="3" fontId="8" fillId="8" borderId="80" xfId="0" applyNumberFormat="1" applyFont="1" applyFill="1" applyBorder="1" applyAlignment="1">
      <alignment horizontal="right" shrinkToFit="1"/>
    </xf>
    <xf numFmtId="3" fontId="8" fillId="8" borderId="57" xfId="0" applyNumberFormat="1" applyFont="1" applyFill="1" applyBorder="1" applyAlignment="1">
      <alignment horizontal="right" shrinkToFit="1"/>
    </xf>
    <xf numFmtId="3" fontId="8" fillId="8" borderId="44" xfId="0" applyNumberFormat="1" applyFont="1" applyFill="1" applyBorder="1" applyAlignment="1">
      <alignment horizontal="right" shrinkToFit="1"/>
    </xf>
    <xf numFmtId="3" fontId="8" fillId="8" borderId="45" xfId="0" applyNumberFormat="1" applyFont="1" applyFill="1" applyBorder="1" applyAlignment="1">
      <alignment horizontal="right" shrinkToFit="1"/>
    </xf>
    <xf numFmtId="3" fontId="8" fillId="8" borderId="82" xfId="0" applyNumberFormat="1" applyFont="1" applyFill="1" applyBorder="1" applyAlignment="1">
      <alignment horizontal="right" shrinkToFit="1"/>
    </xf>
  </cellXfs>
  <cellStyles count="2">
    <cellStyle name="Normal" xfId="0" builtinId="0"/>
    <cellStyle name="標準 2" xfId="1"/>
  </cellStyles>
  <dxfs count="202"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FF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FF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FF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FFC000"/>
        </patternFill>
      </fill>
    </dxf>
    <dxf>
      <fill>
        <patternFill>
          <bgColor rgb="FFFF99CC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FF99CC"/>
        </patternFill>
      </fill>
    </dxf>
    <dxf>
      <fill>
        <patternFill>
          <bgColor rgb="FF00FFFF"/>
        </patternFill>
      </fill>
    </dxf>
  </dxfs>
  <tableStyles count="0" defaultTableStyle="TableStyleMedium2" defaultPivotStyle="PivotStyleMedium9"/>
  <colors>
    <mruColors>
      <color rgb="FF00FF00"/>
      <color rgb="FF00FFFF"/>
      <color rgb="FFFF99CC"/>
      <color rgb="FFFF3399"/>
      <color rgb="FFCC99FF"/>
      <color rgb="FF99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280145</xdr:colOff>
      <xdr:row>0</xdr:row>
      <xdr:rowOff>44823</xdr:rowOff>
    </xdr:from>
    <xdr:ext cx="930089" cy="483253"/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905998" y="44823"/>
          <a:ext cx="930089" cy="483253"/>
        </a:xfrm>
        <a:prstGeom prst="roundRect">
          <a:avLst/>
        </a:prstGeom>
        <a:solidFill>
          <a:sysClr val="window" lastClr="FFFFFF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ctr"/>
          <a:r>
            <a:rPr lang="en-US" sz="1100" b="1">
              <a:solidFill>
                <a:srgbClr val="FF0000"/>
              </a:solidFill>
            </a:rPr>
            <a:t>Change point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O96"/>
  <sheetViews>
    <sheetView showZeros="0" tabSelected="1" zoomScale="80" zoomScaleNormal="80" workbookViewId="0">
      <pane xSplit="5" ySplit="8" topLeftCell="F9" activePane="bottomRight" state="frozen"/>
      <selection pane="topRight" activeCell="E1" sqref="E1"/>
      <selection pane="bottomLeft" activeCell="A6" sqref="A6"/>
      <selection pane="bottomRight" activeCell="Z13" sqref="Z13:AG14"/>
    </sheetView>
  </sheetViews>
  <sheetFormatPr defaultColWidth="9.109375" defaultRowHeight="14.4"/>
  <cols>
    <col min="1" max="1" width="9.109375" style="4"/>
    <col min="2" max="2" width="13.44140625" style="3" bestFit="1" customWidth="1"/>
    <col min="3" max="4" width="9" style="3" customWidth="1"/>
    <col min="5" max="5" width="15" style="3" bestFit="1" customWidth="1"/>
    <col min="6" max="35" width="5.5546875" style="3" customWidth="1"/>
    <col min="36" max="41" width="5.5546875" style="4" customWidth="1"/>
    <col min="42" max="16384" width="9.109375" style="4"/>
  </cols>
  <sheetData>
    <row r="1" spans="1:41" ht="12" customHeight="1">
      <c r="A1" s="321">
        <f>U7</f>
        <v>46132</v>
      </c>
      <c r="B1" s="321"/>
      <c r="C1" s="321"/>
      <c r="D1" s="321"/>
      <c r="E1" s="321"/>
      <c r="F1" s="153"/>
      <c r="G1" s="153"/>
      <c r="H1" s="153"/>
      <c r="I1" s="153"/>
      <c r="J1" s="153"/>
      <c r="K1" s="153"/>
      <c r="M1" s="18" t="s">
        <v>59</v>
      </c>
      <c r="O1" s="19" t="s">
        <v>60</v>
      </c>
      <c r="AA1" s="307" t="s">
        <v>51</v>
      </c>
      <c r="AB1" s="307"/>
      <c r="AC1" s="307"/>
      <c r="AD1" s="307" t="s">
        <v>52</v>
      </c>
      <c r="AE1" s="307"/>
      <c r="AF1" s="307"/>
      <c r="AG1" s="307" t="s">
        <v>50</v>
      </c>
      <c r="AH1" s="307"/>
      <c r="AI1" s="307"/>
    </row>
    <row r="2" spans="1:41" ht="12" customHeight="1">
      <c r="A2" s="321"/>
      <c r="B2" s="321"/>
      <c r="C2" s="321"/>
      <c r="D2" s="321"/>
      <c r="E2" s="321"/>
      <c r="F2" s="153"/>
      <c r="G2" s="153"/>
      <c r="H2" s="153"/>
      <c r="I2" s="153"/>
      <c r="J2" s="153"/>
      <c r="K2" s="153"/>
      <c r="AA2" s="308">
        <f>F7</f>
        <v>46127</v>
      </c>
      <c r="AB2" s="307"/>
      <c r="AC2" s="307"/>
      <c r="AD2" s="308">
        <f>AA2</f>
        <v>46127</v>
      </c>
      <c r="AE2" s="307"/>
      <c r="AF2" s="307"/>
      <c r="AG2" s="308">
        <f>AD2</f>
        <v>46127</v>
      </c>
      <c r="AH2" s="307"/>
      <c r="AI2" s="307"/>
    </row>
    <row r="3" spans="1:41" ht="12" customHeight="1">
      <c r="A3" s="321"/>
      <c r="B3" s="321"/>
      <c r="C3" s="321"/>
      <c r="D3" s="321"/>
      <c r="E3" s="321"/>
      <c r="F3" s="153"/>
      <c r="G3" s="153"/>
      <c r="H3" s="153"/>
      <c r="I3" s="153"/>
      <c r="J3" s="153"/>
      <c r="K3" s="153"/>
      <c r="M3" s="20" t="s">
        <v>61</v>
      </c>
      <c r="O3" s="21" t="s">
        <v>62</v>
      </c>
      <c r="AA3" s="307"/>
      <c r="AB3" s="307"/>
      <c r="AC3" s="307"/>
      <c r="AD3" s="309" t="s">
        <v>83</v>
      </c>
      <c r="AE3" s="310"/>
      <c r="AF3" s="306"/>
      <c r="AG3" s="307" t="s">
        <v>82</v>
      </c>
      <c r="AH3" s="307"/>
      <c r="AI3" s="307"/>
    </row>
    <row r="4" spans="1:41" ht="12" customHeight="1" thickBot="1">
      <c r="A4" s="321"/>
      <c r="B4" s="321"/>
      <c r="C4" s="321"/>
      <c r="D4" s="321"/>
      <c r="E4" s="321"/>
      <c r="F4" s="153"/>
      <c r="G4" s="153"/>
      <c r="H4" s="153"/>
      <c r="I4" s="153"/>
      <c r="J4" s="153"/>
      <c r="K4" s="153"/>
      <c r="AA4" s="307"/>
      <c r="AB4" s="307"/>
      <c r="AC4" s="307"/>
      <c r="AD4" s="311"/>
      <c r="AE4" s="312"/>
      <c r="AF4" s="304"/>
      <c r="AG4" s="307"/>
      <c r="AH4" s="307"/>
      <c r="AI4" s="307"/>
    </row>
    <row r="5" spans="1:41" ht="25.95" customHeight="1" thickBot="1">
      <c r="A5" s="322" t="s">
        <v>94</v>
      </c>
      <c r="B5" s="323"/>
      <c r="C5" s="323"/>
      <c r="D5" s="323"/>
      <c r="E5" s="323"/>
      <c r="I5" s="318"/>
      <c r="J5" s="318"/>
      <c r="K5" s="318"/>
      <c r="O5" s="371"/>
      <c r="P5" s="372"/>
      <c r="Q5" s="373"/>
      <c r="AA5" s="319"/>
      <c r="AB5" s="319"/>
      <c r="AC5" s="319"/>
      <c r="AD5" s="318"/>
      <c r="AE5" s="318"/>
      <c r="AF5" s="318"/>
      <c r="AG5" s="315"/>
      <c r="AH5" s="315"/>
      <c r="AI5" s="315"/>
      <c r="AJ5" s="371" t="s">
        <v>95</v>
      </c>
      <c r="AK5" s="372"/>
      <c r="AL5" s="373"/>
    </row>
    <row r="6" spans="1:41">
      <c r="A6" s="340" t="s">
        <v>29</v>
      </c>
      <c r="B6" s="305" t="s">
        <v>28</v>
      </c>
      <c r="C6" s="324" t="s">
        <v>22</v>
      </c>
      <c r="D6" s="301"/>
      <c r="E6" s="347" t="s">
        <v>23</v>
      </c>
      <c r="F6" s="316" t="str">
        <f>TEXT(F7,"[$-409]aaa")</f>
        <v>Wed</v>
      </c>
      <c r="G6" s="316"/>
      <c r="H6" s="316"/>
      <c r="I6" s="316" t="str">
        <f>TEXT(I7,"[$-409]aaa")</f>
        <v>Thu</v>
      </c>
      <c r="J6" s="316"/>
      <c r="K6" s="316"/>
      <c r="L6" s="316" t="str">
        <f>TEXT(L7,"[$-409]aaa")</f>
        <v>Fri</v>
      </c>
      <c r="M6" s="316"/>
      <c r="N6" s="317"/>
      <c r="O6" s="316" t="str">
        <f>TEXT(O7,"[$-409]aaa")</f>
        <v>Sat</v>
      </c>
      <c r="P6" s="316"/>
      <c r="Q6" s="317"/>
      <c r="R6" s="316" t="str">
        <f>TEXT(R7,"[$-409]aaa")</f>
        <v>Sun</v>
      </c>
      <c r="S6" s="316"/>
      <c r="T6" s="317"/>
      <c r="U6" s="316" t="str">
        <f>TEXT(U7,"[$-409]aaa")</f>
        <v>Mon</v>
      </c>
      <c r="V6" s="316"/>
      <c r="W6" s="317"/>
      <c r="X6" s="316" t="str">
        <f>TEXT(X7,"[$-409]aaa")</f>
        <v>Tue</v>
      </c>
      <c r="Y6" s="316"/>
      <c r="Z6" s="317"/>
      <c r="AA6" s="316" t="str">
        <f>TEXT(AA7,"[$-409]aaa")</f>
        <v>Wed</v>
      </c>
      <c r="AB6" s="316"/>
      <c r="AC6" s="317"/>
      <c r="AD6" s="316" t="str">
        <f>TEXT(AD7,"[$-409]aaa")</f>
        <v>Thu</v>
      </c>
      <c r="AE6" s="316"/>
      <c r="AF6" s="317"/>
      <c r="AG6" s="316" t="str">
        <f>TEXT(AG7,"[$-409]aaa")</f>
        <v>Fri</v>
      </c>
      <c r="AH6" s="316"/>
      <c r="AI6" s="317"/>
      <c r="AJ6" s="316" t="str">
        <f>TEXT(AJ7,"[$-409]aaa")</f>
        <v>Sat</v>
      </c>
      <c r="AK6" s="316"/>
      <c r="AL6" s="317"/>
      <c r="AM6" s="316" t="str">
        <f>TEXT(AM7,"[$-409]aaa")</f>
        <v>Sun</v>
      </c>
      <c r="AN6" s="316"/>
      <c r="AO6" s="317"/>
    </row>
    <row r="7" spans="1:41">
      <c r="A7" s="341"/>
      <c r="B7" s="254"/>
      <c r="C7" s="325"/>
      <c r="D7" s="285"/>
      <c r="E7" s="348"/>
      <c r="F7" s="313">
        <v>46127</v>
      </c>
      <c r="G7" s="314">
        <f>F7</f>
        <v>46127</v>
      </c>
      <c r="H7" s="343">
        <f>G7</f>
        <v>46127</v>
      </c>
      <c r="I7" s="313">
        <f>F7+1</f>
        <v>46128</v>
      </c>
      <c r="J7" s="314">
        <f>I7</f>
        <v>46128</v>
      </c>
      <c r="K7" s="343">
        <f>J7</f>
        <v>46128</v>
      </c>
      <c r="L7" s="313">
        <f>I7+1</f>
        <v>46129</v>
      </c>
      <c r="M7" s="314">
        <f>L7</f>
        <v>46129</v>
      </c>
      <c r="N7" s="314">
        <f>M7</f>
        <v>46129</v>
      </c>
      <c r="O7" s="313">
        <f>L7+1</f>
        <v>46130</v>
      </c>
      <c r="P7" s="314">
        <f>O7</f>
        <v>46130</v>
      </c>
      <c r="Q7" s="314">
        <f>P7</f>
        <v>46130</v>
      </c>
      <c r="R7" s="313">
        <f>O7+1</f>
        <v>46131</v>
      </c>
      <c r="S7" s="314">
        <f>R7</f>
        <v>46131</v>
      </c>
      <c r="T7" s="314">
        <f>S7</f>
        <v>46131</v>
      </c>
      <c r="U7" s="313">
        <f>R7+1</f>
        <v>46132</v>
      </c>
      <c r="V7" s="314">
        <f>U7</f>
        <v>46132</v>
      </c>
      <c r="W7" s="314">
        <f>V7</f>
        <v>46132</v>
      </c>
      <c r="X7" s="313">
        <f>U7+1</f>
        <v>46133</v>
      </c>
      <c r="Y7" s="314">
        <f>X7</f>
        <v>46133</v>
      </c>
      <c r="Z7" s="314">
        <f>Y7</f>
        <v>46133</v>
      </c>
      <c r="AA7" s="313">
        <f>X7+1</f>
        <v>46134</v>
      </c>
      <c r="AB7" s="314">
        <f>AA7</f>
        <v>46134</v>
      </c>
      <c r="AC7" s="314">
        <f>AB7</f>
        <v>46134</v>
      </c>
      <c r="AD7" s="313">
        <f>AA7+1</f>
        <v>46135</v>
      </c>
      <c r="AE7" s="314">
        <f>AD7</f>
        <v>46135</v>
      </c>
      <c r="AF7" s="314">
        <f>AE7</f>
        <v>46135</v>
      </c>
      <c r="AG7" s="313">
        <f>AD7+1</f>
        <v>46136</v>
      </c>
      <c r="AH7" s="314">
        <f>AG7</f>
        <v>46136</v>
      </c>
      <c r="AI7" s="314">
        <f>AH7</f>
        <v>46136</v>
      </c>
      <c r="AJ7" s="313">
        <f>AG7+1</f>
        <v>46137</v>
      </c>
      <c r="AK7" s="314">
        <f>AJ7</f>
        <v>46137</v>
      </c>
      <c r="AL7" s="314">
        <f>AK7</f>
        <v>46137</v>
      </c>
      <c r="AM7" s="313">
        <f>AJ7+1</f>
        <v>46138</v>
      </c>
      <c r="AN7" s="314">
        <f>AM7</f>
        <v>46138</v>
      </c>
      <c r="AO7" s="314">
        <f>AN7</f>
        <v>46138</v>
      </c>
    </row>
    <row r="8" spans="1:41" ht="15" thickBot="1">
      <c r="A8" s="342"/>
      <c r="B8" s="255"/>
      <c r="C8" s="326"/>
      <c r="D8" s="303"/>
      <c r="E8" s="349"/>
      <c r="F8" s="49" t="s">
        <v>1</v>
      </c>
      <c r="G8" s="50" t="s">
        <v>0</v>
      </c>
      <c r="H8" s="51" t="s">
        <v>2</v>
      </c>
      <c r="I8" s="49" t="s">
        <v>1</v>
      </c>
      <c r="J8" s="50" t="s">
        <v>0</v>
      </c>
      <c r="K8" s="51" t="s">
        <v>2</v>
      </c>
      <c r="L8" s="49" t="s">
        <v>1</v>
      </c>
      <c r="M8" s="50" t="s">
        <v>0</v>
      </c>
      <c r="N8" s="53" t="s">
        <v>2</v>
      </c>
      <c r="O8" s="49" t="s">
        <v>1</v>
      </c>
      <c r="P8" s="50" t="s">
        <v>0</v>
      </c>
      <c r="Q8" s="51" t="s">
        <v>2</v>
      </c>
      <c r="R8" s="49" t="s">
        <v>1</v>
      </c>
      <c r="S8" s="50" t="s">
        <v>0</v>
      </c>
      <c r="T8" s="51" t="s">
        <v>2</v>
      </c>
      <c r="U8" s="49" t="s">
        <v>1</v>
      </c>
      <c r="V8" s="50" t="s">
        <v>0</v>
      </c>
      <c r="W8" s="51" t="s">
        <v>2</v>
      </c>
      <c r="X8" s="49" t="s">
        <v>1</v>
      </c>
      <c r="Y8" s="50" t="s">
        <v>0</v>
      </c>
      <c r="Z8" s="51" t="s">
        <v>2</v>
      </c>
      <c r="AA8" s="49" t="s">
        <v>1</v>
      </c>
      <c r="AB8" s="50" t="s">
        <v>0</v>
      </c>
      <c r="AC8" s="51" t="s">
        <v>2</v>
      </c>
      <c r="AD8" s="49" t="s">
        <v>1</v>
      </c>
      <c r="AE8" s="50" t="s">
        <v>0</v>
      </c>
      <c r="AF8" s="51" t="s">
        <v>2</v>
      </c>
      <c r="AG8" s="49" t="s">
        <v>1</v>
      </c>
      <c r="AH8" s="50" t="s">
        <v>0</v>
      </c>
      <c r="AI8" s="51" t="s">
        <v>2</v>
      </c>
      <c r="AJ8" s="49" t="s">
        <v>1</v>
      </c>
      <c r="AK8" s="50" t="s">
        <v>0</v>
      </c>
      <c r="AL8" s="51" t="s">
        <v>2</v>
      </c>
      <c r="AM8" s="49" t="s">
        <v>1</v>
      </c>
      <c r="AN8" s="50" t="s">
        <v>0</v>
      </c>
      <c r="AO8" s="51" t="s">
        <v>2</v>
      </c>
    </row>
    <row r="9" spans="1:41" ht="15" customHeight="1">
      <c r="A9" s="338" t="s">
        <v>21</v>
      </c>
      <c r="B9" s="283" t="s">
        <v>91</v>
      </c>
      <c r="C9" s="302" t="s">
        <v>91</v>
      </c>
      <c r="D9" s="285" t="s">
        <v>91</v>
      </c>
      <c r="E9" s="12" t="s">
        <v>24</v>
      </c>
      <c r="F9" s="22">
        <v>500</v>
      </c>
      <c r="G9" s="23">
        <v>500</v>
      </c>
      <c r="H9" s="23">
        <v>500</v>
      </c>
      <c r="I9" s="22">
        <v>500</v>
      </c>
      <c r="J9" s="23">
        <v>500</v>
      </c>
      <c r="K9" s="23">
        <v>500</v>
      </c>
      <c r="L9" s="22">
        <v>500</v>
      </c>
      <c r="M9" s="23">
        <v>500</v>
      </c>
      <c r="N9" s="23">
        <v>500</v>
      </c>
      <c r="O9" s="22">
        <v>250</v>
      </c>
      <c r="P9" s="23">
        <v>0</v>
      </c>
      <c r="Q9" s="24">
        <v>0</v>
      </c>
      <c r="R9" s="22">
        <v>0</v>
      </c>
      <c r="S9" s="23">
        <v>0</v>
      </c>
      <c r="T9" s="24">
        <v>250</v>
      </c>
      <c r="U9" s="22">
        <v>500</v>
      </c>
      <c r="V9" s="23">
        <v>500</v>
      </c>
      <c r="W9" s="23">
        <v>500</v>
      </c>
      <c r="X9" s="22">
        <v>500</v>
      </c>
      <c r="Y9" s="23">
        <v>500</v>
      </c>
      <c r="Z9" s="23">
        <v>500</v>
      </c>
      <c r="AA9" s="22">
        <v>500</v>
      </c>
      <c r="AB9" s="23">
        <v>500</v>
      </c>
      <c r="AC9" s="23">
        <v>500</v>
      </c>
      <c r="AD9" s="155">
        <v>500</v>
      </c>
      <c r="AE9" s="156">
        <v>500</v>
      </c>
      <c r="AF9" s="156">
        <v>500</v>
      </c>
      <c r="AG9" s="22">
        <v>500</v>
      </c>
      <c r="AH9" s="23">
        <v>500</v>
      </c>
      <c r="AI9" s="23">
        <v>500</v>
      </c>
      <c r="AJ9" s="22">
        <v>0</v>
      </c>
      <c r="AK9" s="23">
        <v>0</v>
      </c>
      <c r="AL9" s="24">
        <v>0</v>
      </c>
      <c r="AM9" s="22">
        <v>0</v>
      </c>
      <c r="AN9" s="23">
        <v>0</v>
      </c>
      <c r="AO9" s="24">
        <v>0</v>
      </c>
    </row>
    <row r="10" spans="1:41" ht="15" customHeight="1" thickBot="1">
      <c r="A10" s="338"/>
      <c r="B10" s="289"/>
      <c r="C10" s="320"/>
      <c r="D10" s="303"/>
      <c r="E10" s="13" t="s">
        <v>25</v>
      </c>
      <c r="F10" s="29">
        <v>439</v>
      </c>
      <c r="G10" s="30">
        <v>439</v>
      </c>
      <c r="H10" s="31">
        <v>439</v>
      </c>
      <c r="I10" s="29">
        <v>439</v>
      </c>
      <c r="J10" s="30">
        <v>439</v>
      </c>
      <c r="K10" s="31">
        <v>439</v>
      </c>
      <c r="L10" s="29">
        <v>439</v>
      </c>
      <c r="M10" s="30">
        <v>439</v>
      </c>
      <c r="N10" s="31">
        <v>439</v>
      </c>
      <c r="O10" s="29">
        <f>439/2</f>
        <v>219.5</v>
      </c>
      <c r="P10" s="30">
        <v>0</v>
      </c>
      <c r="Q10" s="31">
        <v>0</v>
      </c>
      <c r="R10" s="29">
        <v>0</v>
      </c>
      <c r="S10" s="30">
        <v>0</v>
      </c>
      <c r="T10" s="31">
        <v>220</v>
      </c>
      <c r="U10" s="29">
        <v>439</v>
      </c>
      <c r="V10" s="30">
        <v>439</v>
      </c>
      <c r="W10" s="31">
        <v>439</v>
      </c>
      <c r="X10" s="29">
        <v>439</v>
      </c>
      <c r="Y10" s="30">
        <v>439</v>
      </c>
      <c r="Z10" s="31">
        <v>439</v>
      </c>
      <c r="AA10" s="29">
        <v>439</v>
      </c>
      <c r="AB10" s="30">
        <v>439</v>
      </c>
      <c r="AC10" s="31">
        <v>439</v>
      </c>
      <c r="AD10" s="157">
        <v>439</v>
      </c>
      <c r="AE10" s="158">
        <v>439</v>
      </c>
      <c r="AF10" s="159">
        <v>439</v>
      </c>
      <c r="AG10" s="29">
        <v>439</v>
      </c>
      <c r="AH10" s="30">
        <v>439</v>
      </c>
      <c r="AI10" s="31">
        <v>439</v>
      </c>
      <c r="AJ10" s="29">
        <v>0</v>
      </c>
      <c r="AK10" s="30">
        <v>0</v>
      </c>
      <c r="AL10" s="31">
        <v>0</v>
      </c>
      <c r="AM10" s="29">
        <v>0</v>
      </c>
      <c r="AN10" s="30">
        <v>0</v>
      </c>
      <c r="AO10" s="31">
        <v>0</v>
      </c>
    </row>
    <row r="11" spans="1:41" ht="15" customHeight="1">
      <c r="A11" s="338"/>
      <c r="B11" s="330" t="s">
        <v>54</v>
      </c>
      <c r="C11" s="300" t="s">
        <v>17</v>
      </c>
      <c r="D11" s="301"/>
      <c r="E11" s="12" t="s">
        <v>24</v>
      </c>
      <c r="F11" s="376">
        <v>750</v>
      </c>
      <c r="G11" s="376">
        <v>750</v>
      </c>
      <c r="H11" s="22">
        <v>0</v>
      </c>
      <c r="I11" s="376">
        <v>750</v>
      </c>
      <c r="J11" s="122">
        <v>750</v>
      </c>
      <c r="K11" s="22">
        <v>0</v>
      </c>
      <c r="L11" s="376">
        <v>750</v>
      </c>
      <c r="M11" s="122">
        <v>750</v>
      </c>
      <c r="N11" s="54">
        <v>0</v>
      </c>
      <c r="O11" s="22">
        <v>0</v>
      </c>
      <c r="P11" s="23">
        <v>0</v>
      </c>
      <c r="Q11" s="24">
        <v>0</v>
      </c>
      <c r="R11" s="88">
        <v>0</v>
      </c>
      <c r="S11" s="23">
        <v>0</v>
      </c>
      <c r="T11" s="90">
        <v>0</v>
      </c>
      <c r="U11" s="205">
        <v>500</v>
      </c>
      <c r="V11" s="206">
        <v>500</v>
      </c>
      <c r="W11" s="207">
        <v>0</v>
      </c>
      <c r="X11" s="205">
        <v>500</v>
      </c>
      <c r="Y11" s="206">
        <v>500</v>
      </c>
      <c r="Z11" s="207">
        <v>0</v>
      </c>
      <c r="AA11" s="205">
        <v>500</v>
      </c>
      <c r="AB11" s="206">
        <v>500</v>
      </c>
      <c r="AC11" s="207">
        <v>0</v>
      </c>
      <c r="AD11" s="208">
        <v>500</v>
      </c>
      <c r="AE11" s="209">
        <v>500</v>
      </c>
      <c r="AF11" s="210">
        <v>0</v>
      </c>
      <c r="AG11" s="205">
        <v>500</v>
      </c>
      <c r="AH11" s="206">
        <v>500</v>
      </c>
      <c r="AI11" s="24">
        <v>0</v>
      </c>
      <c r="AJ11" s="22">
        <v>0</v>
      </c>
      <c r="AK11" s="23">
        <v>0</v>
      </c>
      <c r="AL11" s="24">
        <v>0</v>
      </c>
      <c r="AM11" s="22">
        <v>0</v>
      </c>
      <c r="AN11" s="23">
        <v>0</v>
      </c>
      <c r="AO11" s="24">
        <v>0</v>
      </c>
    </row>
    <row r="12" spans="1:41" ht="15" customHeight="1" thickBot="1">
      <c r="A12" s="338"/>
      <c r="B12" s="331"/>
      <c r="C12" s="320"/>
      <c r="D12" s="303"/>
      <c r="E12" s="13" t="s">
        <v>25</v>
      </c>
      <c r="F12" s="377">
        <v>722</v>
      </c>
      <c r="G12" s="377">
        <v>722</v>
      </c>
      <c r="H12" s="29">
        <v>0</v>
      </c>
      <c r="I12" s="377">
        <v>722</v>
      </c>
      <c r="J12" s="378">
        <v>722</v>
      </c>
      <c r="K12" s="29">
        <v>0</v>
      </c>
      <c r="L12" s="377">
        <v>722</v>
      </c>
      <c r="M12" s="378">
        <v>722</v>
      </c>
      <c r="N12" s="55">
        <v>0</v>
      </c>
      <c r="O12" s="29">
        <v>0</v>
      </c>
      <c r="P12" s="30">
        <v>0</v>
      </c>
      <c r="Q12" s="31">
        <v>0</v>
      </c>
      <c r="R12" s="89">
        <v>0</v>
      </c>
      <c r="S12" s="30">
        <v>0</v>
      </c>
      <c r="T12" s="91">
        <v>0</v>
      </c>
      <c r="U12" s="211">
        <v>481</v>
      </c>
      <c r="V12" s="212">
        <v>481</v>
      </c>
      <c r="W12" s="213">
        <v>0</v>
      </c>
      <c r="X12" s="211">
        <v>481</v>
      </c>
      <c r="Y12" s="212">
        <v>481</v>
      </c>
      <c r="Z12" s="213">
        <v>0</v>
      </c>
      <c r="AA12" s="211">
        <v>481</v>
      </c>
      <c r="AB12" s="212">
        <v>481</v>
      </c>
      <c r="AC12" s="213">
        <v>0</v>
      </c>
      <c r="AD12" s="214">
        <v>481</v>
      </c>
      <c r="AE12" s="215">
        <v>481</v>
      </c>
      <c r="AF12" s="216">
        <v>0</v>
      </c>
      <c r="AG12" s="211">
        <v>481</v>
      </c>
      <c r="AH12" s="212">
        <v>481</v>
      </c>
      <c r="AI12" s="31">
        <v>0</v>
      </c>
      <c r="AJ12" s="29">
        <v>0</v>
      </c>
      <c r="AK12" s="30">
        <v>0</v>
      </c>
      <c r="AL12" s="31">
        <v>0</v>
      </c>
      <c r="AM12" s="29">
        <v>0</v>
      </c>
      <c r="AN12" s="30">
        <v>0</v>
      </c>
      <c r="AO12" s="31">
        <v>0</v>
      </c>
    </row>
    <row r="13" spans="1:41" ht="15" customHeight="1">
      <c r="A13" s="338"/>
      <c r="B13" s="282" t="s">
        <v>55</v>
      </c>
      <c r="C13" s="300" t="s">
        <v>4</v>
      </c>
      <c r="D13" s="301"/>
      <c r="E13" s="12" t="s">
        <v>24</v>
      </c>
      <c r="F13" s="22">
        <v>0</v>
      </c>
      <c r="G13" s="23">
        <v>0</v>
      </c>
      <c r="H13" s="24">
        <v>0</v>
      </c>
      <c r="I13" s="22">
        <v>0</v>
      </c>
      <c r="J13" s="23">
        <v>215.77981651376146</v>
      </c>
      <c r="K13" s="24">
        <v>588</v>
      </c>
      <c r="L13" s="22">
        <v>588</v>
      </c>
      <c r="M13" s="23">
        <v>588</v>
      </c>
      <c r="N13" s="54">
        <v>588</v>
      </c>
      <c r="O13" s="22">
        <v>0</v>
      </c>
      <c r="P13" s="23">
        <v>0</v>
      </c>
      <c r="Q13" s="24">
        <v>0</v>
      </c>
      <c r="R13" s="22">
        <v>0</v>
      </c>
      <c r="S13" s="23">
        <v>0</v>
      </c>
      <c r="T13" s="24">
        <v>0</v>
      </c>
      <c r="U13" s="22">
        <v>588</v>
      </c>
      <c r="V13" s="23">
        <v>588</v>
      </c>
      <c r="W13" s="24">
        <v>588</v>
      </c>
      <c r="X13" s="22">
        <v>588</v>
      </c>
      <c r="Y13" s="23">
        <v>215.77981651376146</v>
      </c>
      <c r="Z13" s="24">
        <v>0</v>
      </c>
      <c r="AA13" s="22">
        <v>0</v>
      </c>
      <c r="AB13" s="23">
        <v>0</v>
      </c>
      <c r="AC13" s="24">
        <v>0</v>
      </c>
      <c r="AD13" s="155">
        <v>0</v>
      </c>
      <c r="AE13" s="156">
        <v>0</v>
      </c>
      <c r="AF13" s="160">
        <v>0</v>
      </c>
      <c r="AG13" s="22">
        <v>0</v>
      </c>
      <c r="AH13" s="23">
        <v>215.77981651376146</v>
      </c>
      <c r="AI13" s="24">
        <v>588</v>
      </c>
      <c r="AJ13" s="22">
        <v>588</v>
      </c>
      <c r="AK13" s="23">
        <v>588</v>
      </c>
      <c r="AL13" s="24">
        <v>588</v>
      </c>
      <c r="AM13" s="22">
        <v>0</v>
      </c>
      <c r="AN13" s="23">
        <v>0</v>
      </c>
      <c r="AO13" s="24">
        <v>0</v>
      </c>
    </row>
    <row r="14" spans="1:41" ht="15" customHeight="1">
      <c r="A14" s="338"/>
      <c r="B14" s="283"/>
      <c r="C14" s="312"/>
      <c r="D14" s="304"/>
      <c r="E14" s="14" t="s">
        <v>25</v>
      </c>
      <c r="F14" s="32">
        <v>0</v>
      </c>
      <c r="G14" s="33">
        <v>0</v>
      </c>
      <c r="H14" s="34">
        <v>0</v>
      </c>
      <c r="I14" s="32">
        <v>0</v>
      </c>
      <c r="J14" s="33">
        <v>200</v>
      </c>
      <c r="K14" s="34">
        <v>545</v>
      </c>
      <c r="L14" s="32">
        <v>545</v>
      </c>
      <c r="M14" s="33">
        <v>545</v>
      </c>
      <c r="N14" s="117">
        <v>545</v>
      </c>
      <c r="O14" s="32">
        <v>0</v>
      </c>
      <c r="P14" s="33">
        <v>0</v>
      </c>
      <c r="Q14" s="34">
        <v>0</v>
      </c>
      <c r="R14" s="32">
        <v>0</v>
      </c>
      <c r="S14" s="33">
        <v>0</v>
      </c>
      <c r="T14" s="34">
        <v>0</v>
      </c>
      <c r="U14" s="32">
        <v>545</v>
      </c>
      <c r="V14" s="33">
        <v>545</v>
      </c>
      <c r="W14" s="34">
        <v>545</v>
      </c>
      <c r="X14" s="32">
        <v>545</v>
      </c>
      <c r="Y14" s="33">
        <v>200</v>
      </c>
      <c r="Z14" s="34">
        <v>0</v>
      </c>
      <c r="AA14" s="32">
        <v>0</v>
      </c>
      <c r="AB14" s="33">
        <v>0</v>
      </c>
      <c r="AC14" s="34">
        <v>0</v>
      </c>
      <c r="AD14" s="161">
        <v>0</v>
      </c>
      <c r="AE14" s="162">
        <v>0</v>
      </c>
      <c r="AF14" s="163">
        <v>0</v>
      </c>
      <c r="AG14" s="32">
        <v>0</v>
      </c>
      <c r="AH14" s="33">
        <v>200</v>
      </c>
      <c r="AI14" s="34">
        <v>545</v>
      </c>
      <c r="AJ14" s="32">
        <v>545</v>
      </c>
      <c r="AK14" s="33">
        <v>545</v>
      </c>
      <c r="AL14" s="34">
        <v>545</v>
      </c>
      <c r="AM14" s="32">
        <v>0</v>
      </c>
      <c r="AN14" s="33">
        <v>0</v>
      </c>
      <c r="AO14" s="34">
        <v>0</v>
      </c>
    </row>
    <row r="15" spans="1:41" ht="15" customHeight="1">
      <c r="A15" s="338"/>
      <c r="B15" s="283"/>
      <c r="C15" s="310" t="s">
        <v>10</v>
      </c>
      <c r="D15" s="306"/>
      <c r="E15" s="15" t="s">
        <v>24</v>
      </c>
      <c r="F15" s="25">
        <v>588</v>
      </c>
      <c r="G15" s="26">
        <v>588</v>
      </c>
      <c r="H15" s="39">
        <v>588</v>
      </c>
      <c r="I15" s="25">
        <v>588</v>
      </c>
      <c r="J15" s="26">
        <v>215.77981651376146</v>
      </c>
      <c r="K15" s="39">
        <v>0</v>
      </c>
      <c r="L15" s="25">
        <v>0</v>
      </c>
      <c r="M15" s="26">
        <v>0</v>
      </c>
      <c r="N15" s="56">
        <v>0</v>
      </c>
      <c r="O15" s="25">
        <v>0</v>
      </c>
      <c r="P15" s="26">
        <v>0</v>
      </c>
      <c r="Q15" s="39">
        <v>0</v>
      </c>
      <c r="R15" s="25">
        <v>0</v>
      </c>
      <c r="S15" s="26">
        <v>0</v>
      </c>
      <c r="T15" s="39">
        <v>0</v>
      </c>
      <c r="U15" s="25">
        <v>0</v>
      </c>
      <c r="V15" s="26">
        <v>0</v>
      </c>
      <c r="W15" s="39">
        <v>0</v>
      </c>
      <c r="X15" s="25">
        <v>0</v>
      </c>
      <c r="Y15" s="26">
        <v>215.77981651376146</v>
      </c>
      <c r="Z15" s="39">
        <v>588</v>
      </c>
      <c r="AA15" s="25">
        <v>588</v>
      </c>
      <c r="AB15" s="26">
        <v>588</v>
      </c>
      <c r="AC15" s="39">
        <v>588</v>
      </c>
      <c r="AD15" s="164">
        <v>588</v>
      </c>
      <c r="AE15" s="165">
        <v>588</v>
      </c>
      <c r="AF15" s="166">
        <v>588</v>
      </c>
      <c r="AG15" s="25">
        <v>588</v>
      </c>
      <c r="AH15" s="26">
        <v>215.77981651376146</v>
      </c>
      <c r="AI15" s="39">
        <v>0</v>
      </c>
      <c r="AJ15" s="25">
        <v>0</v>
      </c>
      <c r="AK15" s="26">
        <v>0</v>
      </c>
      <c r="AL15" s="39">
        <v>0</v>
      </c>
      <c r="AM15" s="25">
        <v>0</v>
      </c>
      <c r="AN15" s="26">
        <v>0</v>
      </c>
      <c r="AO15" s="39">
        <v>0</v>
      </c>
    </row>
    <row r="16" spans="1:41" ht="15" customHeight="1" thickBot="1">
      <c r="A16" s="338"/>
      <c r="B16" s="289"/>
      <c r="C16" s="320"/>
      <c r="D16" s="303"/>
      <c r="E16" s="13" t="s">
        <v>25</v>
      </c>
      <c r="F16" s="29">
        <v>545</v>
      </c>
      <c r="G16" s="30">
        <v>545</v>
      </c>
      <c r="H16" s="31">
        <v>545</v>
      </c>
      <c r="I16" s="29">
        <v>545</v>
      </c>
      <c r="J16" s="30">
        <v>200</v>
      </c>
      <c r="K16" s="31">
        <v>0</v>
      </c>
      <c r="L16" s="29">
        <v>0</v>
      </c>
      <c r="M16" s="30">
        <v>0</v>
      </c>
      <c r="N16" s="55">
        <v>0</v>
      </c>
      <c r="O16" s="29">
        <v>0</v>
      </c>
      <c r="P16" s="30">
        <v>0</v>
      </c>
      <c r="Q16" s="31">
        <v>0</v>
      </c>
      <c r="R16" s="29">
        <v>0</v>
      </c>
      <c r="S16" s="30">
        <v>0</v>
      </c>
      <c r="T16" s="31">
        <v>0</v>
      </c>
      <c r="U16" s="29">
        <v>0</v>
      </c>
      <c r="V16" s="30">
        <v>0</v>
      </c>
      <c r="W16" s="31">
        <v>0</v>
      </c>
      <c r="X16" s="29">
        <v>0</v>
      </c>
      <c r="Y16" s="30">
        <v>200</v>
      </c>
      <c r="Z16" s="31">
        <v>545</v>
      </c>
      <c r="AA16" s="29">
        <v>545</v>
      </c>
      <c r="AB16" s="30">
        <v>545</v>
      </c>
      <c r="AC16" s="31">
        <v>545</v>
      </c>
      <c r="AD16" s="157">
        <v>545</v>
      </c>
      <c r="AE16" s="158">
        <v>545</v>
      </c>
      <c r="AF16" s="159">
        <v>545</v>
      </c>
      <c r="AG16" s="29">
        <v>545</v>
      </c>
      <c r="AH16" s="30">
        <v>200</v>
      </c>
      <c r="AI16" s="31">
        <v>0</v>
      </c>
      <c r="AJ16" s="29">
        <v>0</v>
      </c>
      <c r="AK16" s="30">
        <v>0</v>
      </c>
      <c r="AL16" s="31">
        <v>0</v>
      </c>
      <c r="AM16" s="29">
        <v>0</v>
      </c>
      <c r="AN16" s="30">
        <v>0</v>
      </c>
      <c r="AO16" s="31">
        <v>0</v>
      </c>
    </row>
    <row r="17" spans="1:41" ht="13.5" customHeight="1">
      <c r="A17" s="338"/>
      <c r="B17" s="327" t="s">
        <v>56</v>
      </c>
      <c r="C17" s="332" t="s">
        <v>20</v>
      </c>
      <c r="D17" s="333"/>
      <c r="E17" s="16" t="s">
        <v>70</v>
      </c>
      <c r="F17" s="22"/>
      <c r="G17" s="23"/>
      <c r="H17" s="69"/>
      <c r="I17" s="22"/>
      <c r="J17" s="23"/>
      <c r="K17" s="24"/>
      <c r="L17" s="22"/>
      <c r="M17" s="23"/>
      <c r="N17" s="54"/>
      <c r="O17" s="22"/>
      <c r="P17" s="122"/>
      <c r="Q17" s="24"/>
      <c r="R17" s="22"/>
      <c r="S17" s="23"/>
      <c r="T17" s="24"/>
      <c r="U17" s="22"/>
      <c r="V17" s="23"/>
      <c r="W17" s="24"/>
      <c r="X17" s="22"/>
      <c r="Y17" s="23"/>
      <c r="Z17" s="24"/>
      <c r="AA17" s="22"/>
      <c r="AB17" s="23"/>
      <c r="AC17" s="24"/>
      <c r="AD17" s="155"/>
      <c r="AE17" s="156"/>
      <c r="AF17" s="160"/>
      <c r="AG17" s="22"/>
      <c r="AH17" s="23"/>
      <c r="AI17" s="24"/>
      <c r="AJ17" s="22"/>
      <c r="AK17" s="23"/>
      <c r="AL17" s="24"/>
      <c r="AM17" s="22"/>
      <c r="AN17" s="23"/>
      <c r="AO17" s="24"/>
    </row>
    <row r="18" spans="1:41" ht="9" customHeight="1">
      <c r="A18" s="338"/>
      <c r="B18" s="328"/>
      <c r="C18" s="334"/>
      <c r="D18" s="335"/>
      <c r="E18" s="17" t="s">
        <v>71</v>
      </c>
      <c r="F18" s="40"/>
      <c r="G18" s="41"/>
      <c r="H18" s="42"/>
      <c r="I18" s="40"/>
      <c r="J18" s="41"/>
      <c r="K18" s="42"/>
      <c r="L18" s="57"/>
      <c r="M18" s="204"/>
      <c r="N18" s="57"/>
      <c r="O18" s="40"/>
      <c r="P18" s="41"/>
      <c r="Q18" s="42"/>
      <c r="R18" s="40"/>
      <c r="S18" s="41"/>
      <c r="T18" s="42"/>
      <c r="U18" s="40"/>
      <c r="V18" s="41"/>
      <c r="W18" s="42"/>
      <c r="X18" s="40"/>
      <c r="Y18" s="41"/>
      <c r="Z18" s="42"/>
      <c r="AA18" s="40"/>
      <c r="AB18" s="41"/>
      <c r="AC18" s="42"/>
      <c r="AD18" s="167"/>
      <c r="AE18" s="168"/>
      <c r="AF18" s="169"/>
      <c r="AG18" s="40"/>
      <c r="AH18" s="41"/>
      <c r="AI18" s="42"/>
      <c r="AJ18" s="40"/>
      <c r="AK18" s="41"/>
      <c r="AL18" s="42"/>
      <c r="AM18" s="40"/>
      <c r="AN18" s="41"/>
      <c r="AO18" s="42"/>
    </row>
    <row r="19" spans="1:41" ht="9" customHeight="1">
      <c r="A19" s="338"/>
      <c r="B19" s="328"/>
      <c r="C19" s="334"/>
      <c r="D19" s="335"/>
      <c r="E19" s="17" t="s">
        <v>9</v>
      </c>
      <c r="F19" s="40"/>
      <c r="G19" s="41"/>
      <c r="H19" s="42"/>
      <c r="I19" s="40"/>
      <c r="J19" s="118"/>
      <c r="K19" s="42"/>
      <c r="L19" s="40"/>
      <c r="M19" s="41"/>
      <c r="N19" s="57"/>
      <c r="O19" s="40"/>
      <c r="P19" s="41"/>
      <c r="Q19" s="42"/>
      <c r="R19" s="40"/>
      <c r="S19" s="41"/>
      <c r="T19" s="42"/>
      <c r="U19" s="40"/>
      <c r="V19" s="41"/>
      <c r="W19" s="42"/>
      <c r="X19" s="40"/>
      <c r="Y19" s="41"/>
      <c r="Z19" s="42"/>
      <c r="AA19" s="40"/>
      <c r="AB19" s="41"/>
      <c r="AC19" s="42"/>
      <c r="AD19" s="167"/>
      <c r="AE19" s="168"/>
      <c r="AF19" s="169"/>
      <c r="AG19" s="40"/>
      <c r="AH19" s="41"/>
      <c r="AI19" s="42"/>
      <c r="AJ19" s="40"/>
      <c r="AK19" s="41"/>
      <c r="AL19" s="42"/>
      <c r="AM19" s="40"/>
      <c r="AN19" s="41"/>
      <c r="AO19" s="42"/>
    </row>
    <row r="20" spans="1:41" ht="9" customHeight="1">
      <c r="A20" s="338"/>
      <c r="B20" s="328"/>
      <c r="C20" s="334"/>
      <c r="D20" s="335"/>
      <c r="E20" s="17" t="s">
        <v>6</v>
      </c>
      <c r="F20" s="40"/>
      <c r="G20" s="41"/>
      <c r="H20" s="42"/>
      <c r="I20" s="40"/>
      <c r="J20" s="41"/>
      <c r="K20" s="42"/>
      <c r="L20" s="40"/>
      <c r="M20" s="118"/>
      <c r="N20" s="57"/>
      <c r="O20" s="40"/>
      <c r="P20" s="41"/>
      <c r="Q20" s="42"/>
      <c r="R20" s="40"/>
      <c r="S20" s="41"/>
      <c r="T20" s="42"/>
      <c r="U20" s="40"/>
      <c r="V20" s="41"/>
      <c r="W20" s="42"/>
      <c r="X20" s="40"/>
      <c r="Y20" s="41"/>
      <c r="Z20" s="42"/>
      <c r="AA20" s="40"/>
      <c r="AB20" s="41"/>
      <c r="AC20" s="42"/>
      <c r="AD20" s="167"/>
      <c r="AE20" s="168"/>
      <c r="AF20" s="169"/>
      <c r="AG20" s="40"/>
      <c r="AH20" s="41"/>
      <c r="AI20" s="42"/>
      <c r="AJ20" s="40"/>
      <c r="AK20" s="41"/>
      <c r="AL20" s="42"/>
      <c r="AM20" s="40"/>
      <c r="AN20" s="41"/>
      <c r="AO20" s="42"/>
    </row>
    <row r="21" spans="1:41" ht="9" customHeight="1">
      <c r="A21" s="338"/>
      <c r="B21" s="328"/>
      <c r="C21" s="334"/>
      <c r="D21" s="335"/>
      <c r="E21" s="17" t="s">
        <v>7</v>
      </c>
      <c r="F21" s="40"/>
      <c r="G21" s="41"/>
      <c r="H21" s="42"/>
      <c r="I21" s="40"/>
      <c r="J21" s="41"/>
      <c r="K21" s="42"/>
      <c r="L21" s="40"/>
      <c r="M21" s="118"/>
      <c r="N21" s="57"/>
      <c r="O21" s="126"/>
      <c r="P21" s="41"/>
      <c r="Q21" s="42"/>
      <c r="R21" s="40"/>
      <c r="S21" s="41"/>
      <c r="T21" s="42"/>
      <c r="U21" s="40"/>
      <c r="V21" s="41"/>
      <c r="W21" s="42"/>
      <c r="X21" s="40"/>
      <c r="Y21" s="41"/>
      <c r="Z21" s="42"/>
      <c r="AA21" s="40"/>
      <c r="AB21" s="41"/>
      <c r="AC21" s="42"/>
      <c r="AD21" s="167"/>
      <c r="AE21" s="168"/>
      <c r="AF21" s="169"/>
      <c r="AG21" s="40"/>
      <c r="AH21" s="41"/>
      <c r="AI21" s="42"/>
      <c r="AJ21" s="40"/>
      <c r="AK21" s="41"/>
      <c r="AL21" s="42"/>
      <c r="AM21" s="40"/>
      <c r="AN21" s="41"/>
      <c r="AO21" s="42"/>
    </row>
    <row r="22" spans="1:41" ht="9" customHeight="1">
      <c r="A22" s="338"/>
      <c r="B22" s="328"/>
      <c r="C22" s="334"/>
      <c r="D22" s="335"/>
      <c r="E22" s="17" t="s">
        <v>8</v>
      </c>
      <c r="F22" s="40"/>
      <c r="G22" s="41"/>
      <c r="H22" s="42"/>
      <c r="I22" s="40"/>
      <c r="J22" s="41"/>
      <c r="K22" s="42"/>
      <c r="L22" s="40"/>
      <c r="M22" s="118"/>
      <c r="N22" s="57"/>
      <c r="O22" s="40"/>
      <c r="P22" s="41"/>
      <c r="Q22" s="42"/>
      <c r="R22" s="40"/>
      <c r="S22" s="41"/>
      <c r="T22" s="42"/>
      <c r="U22" s="40"/>
      <c r="V22" s="41"/>
      <c r="W22" s="42"/>
      <c r="X22" s="40"/>
      <c r="Y22" s="41"/>
      <c r="Z22" s="42"/>
      <c r="AA22" s="40"/>
      <c r="AB22" s="41"/>
      <c r="AC22" s="42"/>
      <c r="AD22" s="167"/>
      <c r="AE22" s="168"/>
      <c r="AF22" s="169"/>
      <c r="AG22" s="40"/>
      <c r="AH22" s="41"/>
      <c r="AI22" s="42"/>
      <c r="AJ22" s="40"/>
      <c r="AK22" s="41"/>
      <c r="AL22" s="42"/>
      <c r="AM22" s="40"/>
      <c r="AN22" s="41"/>
      <c r="AO22" s="42"/>
    </row>
    <row r="23" spans="1:41" ht="9" customHeight="1">
      <c r="A23" s="338"/>
      <c r="B23" s="328"/>
      <c r="C23" s="334"/>
      <c r="D23" s="335"/>
      <c r="E23" s="17" t="s">
        <v>5</v>
      </c>
      <c r="F23" s="40"/>
      <c r="G23" s="41"/>
      <c r="H23" s="42"/>
      <c r="I23" s="118"/>
      <c r="J23" s="124"/>
      <c r="K23" s="125"/>
      <c r="L23" s="125"/>
      <c r="M23" s="118"/>
      <c r="N23" s="57"/>
      <c r="O23" s="40"/>
      <c r="P23" s="118"/>
      <c r="Q23" s="124"/>
      <c r="R23" s="125"/>
      <c r="S23" s="118"/>
      <c r="T23" s="42"/>
      <c r="U23" s="40"/>
      <c r="V23" s="41"/>
      <c r="W23" s="42"/>
      <c r="X23" s="40"/>
      <c r="Y23" s="41"/>
      <c r="Z23" s="42"/>
      <c r="AA23" s="40"/>
      <c r="AB23" s="41"/>
      <c r="AC23" s="42"/>
      <c r="AD23" s="167"/>
      <c r="AE23" s="168"/>
      <c r="AF23" s="169"/>
      <c r="AG23" s="40"/>
      <c r="AH23" s="41"/>
      <c r="AI23" s="42"/>
      <c r="AJ23" s="40"/>
      <c r="AK23" s="41"/>
      <c r="AL23" s="42"/>
      <c r="AM23" s="40"/>
      <c r="AN23" s="41"/>
      <c r="AO23" s="42"/>
    </row>
    <row r="24" spans="1:41" ht="9" customHeight="1" thickBot="1">
      <c r="A24" s="339"/>
      <c r="B24" s="329"/>
      <c r="C24" s="336"/>
      <c r="D24" s="337"/>
      <c r="E24" s="13" t="s">
        <v>16</v>
      </c>
      <c r="F24" s="29"/>
      <c r="G24" s="30"/>
      <c r="H24" s="31"/>
      <c r="I24" s="29"/>
      <c r="J24" s="30"/>
      <c r="K24" s="31"/>
      <c r="L24" s="29"/>
      <c r="M24" s="81"/>
      <c r="N24" s="55"/>
      <c r="O24" s="29"/>
      <c r="P24" s="30"/>
      <c r="Q24" s="31"/>
      <c r="R24" s="29"/>
      <c r="S24" s="30"/>
      <c r="T24" s="31"/>
      <c r="U24" s="29"/>
      <c r="V24" s="30"/>
      <c r="W24" s="31"/>
      <c r="X24" s="29"/>
      <c r="Y24" s="30"/>
      <c r="Z24" s="31"/>
      <c r="AA24" s="29"/>
      <c r="AB24" s="30"/>
      <c r="AC24" s="31"/>
      <c r="AD24" s="157"/>
      <c r="AE24" s="158"/>
      <c r="AF24" s="159"/>
      <c r="AG24" s="29"/>
      <c r="AH24" s="30"/>
      <c r="AI24" s="31"/>
      <c r="AJ24" s="29"/>
      <c r="AK24" s="30"/>
      <c r="AL24" s="31"/>
      <c r="AM24" s="29"/>
      <c r="AN24" s="30"/>
      <c r="AO24" s="31"/>
    </row>
    <row r="25" spans="1:41" ht="9" customHeight="1" thickBot="1">
      <c r="A25" s="2"/>
      <c r="B25" s="1"/>
      <c r="C25" s="1"/>
      <c r="D25" s="1"/>
      <c r="F25" s="35"/>
      <c r="G25" s="35"/>
      <c r="H25" s="35"/>
      <c r="I25" s="35"/>
      <c r="J25" s="35"/>
      <c r="K25" s="35"/>
      <c r="L25" s="35"/>
      <c r="M25" s="35"/>
      <c r="N25" s="35"/>
      <c r="O25" s="103"/>
      <c r="P25" s="103"/>
      <c r="Q25" s="103"/>
      <c r="R25" s="103"/>
      <c r="S25" s="103"/>
      <c r="T25" s="103"/>
      <c r="U25" s="35"/>
      <c r="V25" s="35"/>
      <c r="W25" s="35"/>
      <c r="X25" s="35"/>
      <c r="Y25" s="35"/>
      <c r="Z25" s="35"/>
      <c r="AA25" s="35"/>
      <c r="AB25" s="35"/>
      <c r="AC25" s="35"/>
      <c r="AD25" s="170"/>
      <c r="AE25" s="170"/>
      <c r="AF25" s="170"/>
      <c r="AG25" s="35"/>
      <c r="AH25" s="35"/>
      <c r="AI25" s="35"/>
      <c r="AJ25" s="103"/>
      <c r="AK25" s="103"/>
      <c r="AL25" s="103"/>
      <c r="AM25" s="103"/>
      <c r="AN25" s="103"/>
      <c r="AO25" s="103"/>
    </row>
    <row r="26" spans="1:41" ht="15" customHeight="1">
      <c r="A26" s="367" t="s">
        <v>26</v>
      </c>
      <c r="B26" s="253" t="s">
        <v>57</v>
      </c>
      <c r="C26" s="271" t="s">
        <v>11</v>
      </c>
      <c r="D26" s="272"/>
      <c r="E26" s="358" t="s">
        <v>27</v>
      </c>
      <c r="F26" s="234">
        <v>0</v>
      </c>
      <c r="G26" s="206">
        <v>0</v>
      </c>
      <c r="H26" s="207">
        <v>0</v>
      </c>
      <c r="I26" s="205">
        <v>0</v>
      </c>
      <c r="J26" s="206">
        <v>0</v>
      </c>
      <c r="K26" s="207">
        <v>0</v>
      </c>
      <c r="L26" s="205">
        <v>455</v>
      </c>
      <c r="M26" s="206">
        <v>455</v>
      </c>
      <c r="N26" s="54">
        <v>0</v>
      </c>
      <c r="O26" s="22">
        <v>0</v>
      </c>
      <c r="P26" s="23">
        <v>0</v>
      </c>
      <c r="Q26" s="24">
        <v>0</v>
      </c>
      <c r="R26" s="22">
        <v>0</v>
      </c>
      <c r="S26" s="23">
        <v>0</v>
      </c>
      <c r="T26" s="24">
        <v>0</v>
      </c>
      <c r="U26" s="205">
        <v>455</v>
      </c>
      <c r="V26" s="206">
        <v>455</v>
      </c>
      <c r="W26" s="54">
        <v>0</v>
      </c>
      <c r="X26" s="205">
        <v>455</v>
      </c>
      <c r="Y26" s="206">
        <v>455</v>
      </c>
      <c r="Z26" s="54">
        <v>0</v>
      </c>
      <c r="AA26" s="205">
        <v>455</v>
      </c>
      <c r="AB26" s="206">
        <v>455</v>
      </c>
      <c r="AC26" s="54">
        <v>0</v>
      </c>
      <c r="AD26" s="205">
        <v>455</v>
      </c>
      <c r="AE26" s="206">
        <v>455</v>
      </c>
      <c r="AF26" s="54">
        <v>0</v>
      </c>
      <c r="AG26" s="205">
        <v>455</v>
      </c>
      <c r="AH26" s="206">
        <v>455</v>
      </c>
      <c r="AI26" s="54">
        <v>0</v>
      </c>
      <c r="AJ26" s="22">
        <v>0</v>
      </c>
      <c r="AK26" s="23">
        <v>0</v>
      </c>
      <c r="AL26" s="24">
        <v>0</v>
      </c>
      <c r="AM26" s="22">
        <v>0</v>
      </c>
      <c r="AN26" s="23">
        <v>0</v>
      </c>
      <c r="AO26" s="24">
        <v>0</v>
      </c>
    </row>
    <row r="27" spans="1:41" ht="15" customHeight="1">
      <c r="A27" s="368"/>
      <c r="B27" s="254"/>
      <c r="C27" s="265" t="s">
        <v>12</v>
      </c>
      <c r="D27" s="266"/>
      <c r="E27" s="359"/>
      <c r="F27" s="235">
        <v>310</v>
      </c>
      <c r="G27" s="219">
        <v>310</v>
      </c>
      <c r="H27" s="220">
        <v>0</v>
      </c>
      <c r="I27" s="218">
        <v>310</v>
      </c>
      <c r="J27" s="219">
        <v>310</v>
      </c>
      <c r="K27" s="219">
        <v>0</v>
      </c>
      <c r="L27" s="218">
        <v>0</v>
      </c>
      <c r="M27" s="219">
        <v>0</v>
      </c>
      <c r="N27" s="119">
        <v>0</v>
      </c>
      <c r="O27" s="32">
        <v>0</v>
      </c>
      <c r="P27" s="33">
        <v>0</v>
      </c>
      <c r="Q27" s="34">
        <v>0</v>
      </c>
      <c r="R27" s="36">
        <v>0</v>
      </c>
      <c r="S27" s="37">
        <v>0</v>
      </c>
      <c r="T27" s="38">
        <v>0</v>
      </c>
      <c r="U27" s="218">
        <v>0</v>
      </c>
      <c r="V27" s="219">
        <v>0</v>
      </c>
      <c r="W27" s="220">
        <v>0</v>
      </c>
      <c r="X27" s="218">
        <v>0</v>
      </c>
      <c r="Y27" s="219">
        <v>0</v>
      </c>
      <c r="Z27" s="220">
        <v>0</v>
      </c>
      <c r="AA27" s="218">
        <v>0</v>
      </c>
      <c r="AB27" s="219">
        <v>0</v>
      </c>
      <c r="AC27" s="220">
        <v>0</v>
      </c>
      <c r="AD27" s="221">
        <v>0</v>
      </c>
      <c r="AE27" s="222">
        <v>0</v>
      </c>
      <c r="AF27" s="223">
        <v>0</v>
      </c>
      <c r="AG27" s="218">
        <v>0</v>
      </c>
      <c r="AH27" s="219">
        <v>0</v>
      </c>
      <c r="AI27" s="220">
        <v>0</v>
      </c>
      <c r="AJ27" s="36">
        <v>0</v>
      </c>
      <c r="AK27" s="37">
        <v>0</v>
      </c>
      <c r="AL27" s="38">
        <v>0</v>
      </c>
      <c r="AM27" s="36">
        <v>0</v>
      </c>
      <c r="AN27" s="37">
        <v>0</v>
      </c>
      <c r="AO27" s="38">
        <v>0</v>
      </c>
    </row>
    <row r="28" spans="1:41" ht="15" customHeight="1">
      <c r="A28" s="368"/>
      <c r="B28" s="254"/>
      <c r="C28" s="267" t="s">
        <v>11</v>
      </c>
      <c r="D28" s="268"/>
      <c r="E28" s="279" t="s">
        <v>25</v>
      </c>
      <c r="F28" s="76">
        <v>0</v>
      </c>
      <c r="G28" s="26">
        <v>0</v>
      </c>
      <c r="H28" s="39">
        <v>0</v>
      </c>
      <c r="I28" s="25">
        <v>0</v>
      </c>
      <c r="J28" s="26">
        <v>0</v>
      </c>
      <c r="K28" s="39">
        <v>0</v>
      </c>
      <c r="L28" s="25">
        <v>0</v>
      </c>
      <c r="M28" s="26">
        <v>0</v>
      </c>
      <c r="N28" s="56">
        <v>0</v>
      </c>
      <c r="O28" s="25">
        <v>0</v>
      </c>
      <c r="P28" s="127">
        <v>0</v>
      </c>
      <c r="Q28" s="39">
        <v>0</v>
      </c>
      <c r="R28" s="27">
        <v>0</v>
      </c>
      <c r="S28" s="28">
        <v>0</v>
      </c>
      <c r="T28" s="39">
        <v>0</v>
      </c>
      <c r="U28" s="224">
        <v>0</v>
      </c>
      <c r="V28" s="217"/>
      <c r="W28" s="225"/>
      <c r="X28" s="224"/>
      <c r="Y28" s="217"/>
      <c r="Z28" s="225">
        <v>0</v>
      </c>
      <c r="AA28" s="224">
        <v>0</v>
      </c>
      <c r="AB28" s="217">
        <v>0</v>
      </c>
      <c r="AC28" s="225">
        <v>0</v>
      </c>
      <c r="AD28" s="226">
        <v>0</v>
      </c>
      <c r="AE28" s="227">
        <v>0</v>
      </c>
      <c r="AF28" s="228">
        <v>0</v>
      </c>
      <c r="AG28" s="229">
        <v>0</v>
      </c>
      <c r="AH28" s="217">
        <v>0</v>
      </c>
      <c r="AI28" s="225">
        <v>0</v>
      </c>
      <c r="AJ28" s="25">
        <v>0</v>
      </c>
      <c r="AK28" s="26">
        <v>0</v>
      </c>
      <c r="AL28" s="39">
        <v>0</v>
      </c>
      <c r="AM28" s="25">
        <v>0</v>
      </c>
      <c r="AN28" s="26">
        <v>0</v>
      </c>
      <c r="AO28" s="39">
        <v>0</v>
      </c>
    </row>
    <row r="29" spans="1:41" ht="15" customHeight="1" thickBot="1">
      <c r="A29" s="368"/>
      <c r="B29" s="255"/>
      <c r="C29" s="269" t="s">
        <v>12</v>
      </c>
      <c r="D29" s="270"/>
      <c r="E29" s="280"/>
      <c r="F29" s="68">
        <v>0</v>
      </c>
      <c r="G29" s="200">
        <v>388</v>
      </c>
      <c r="H29" s="31">
        <v>0</v>
      </c>
      <c r="I29" s="29">
        <v>0</v>
      </c>
      <c r="J29" s="200">
        <v>388</v>
      </c>
      <c r="K29" s="31">
        <v>0</v>
      </c>
      <c r="L29" s="29">
        <v>0</v>
      </c>
      <c r="M29" s="200">
        <v>388</v>
      </c>
      <c r="N29" s="55">
        <v>0</v>
      </c>
      <c r="O29" s="29">
        <v>0</v>
      </c>
      <c r="P29" s="30">
        <v>0</v>
      </c>
      <c r="Q29" s="31">
        <v>0</v>
      </c>
      <c r="R29" s="29">
        <v>0</v>
      </c>
      <c r="S29" s="30">
        <v>0</v>
      </c>
      <c r="T29" s="31">
        <v>0</v>
      </c>
      <c r="U29" s="211">
        <v>0</v>
      </c>
      <c r="V29" s="212"/>
      <c r="W29" s="213"/>
      <c r="X29" s="211"/>
      <c r="Y29" s="212"/>
      <c r="Z29" s="213">
        <v>0</v>
      </c>
      <c r="AA29" s="211">
        <v>0</v>
      </c>
      <c r="AB29" s="212">
        <v>0</v>
      </c>
      <c r="AC29" s="213">
        <v>0</v>
      </c>
      <c r="AD29" s="214">
        <v>0</v>
      </c>
      <c r="AE29" s="215">
        <v>0</v>
      </c>
      <c r="AF29" s="216">
        <v>0</v>
      </c>
      <c r="AG29" s="211">
        <v>0</v>
      </c>
      <c r="AH29" s="212">
        <v>0</v>
      </c>
      <c r="AI29" s="213">
        <v>0</v>
      </c>
      <c r="AJ29" s="29">
        <v>0</v>
      </c>
      <c r="AK29" s="30">
        <v>0</v>
      </c>
      <c r="AL29" s="31">
        <v>0</v>
      </c>
      <c r="AM29" s="29">
        <v>0</v>
      </c>
      <c r="AN29" s="30">
        <v>0</v>
      </c>
      <c r="AO29" s="31">
        <v>0</v>
      </c>
    </row>
    <row r="30" spans="1:41" ht="15" customHeight="1">
      <c r="A30" s="368"/>
      <c r="B30" s="253" t="s">
        <v>58</v>
      </c>
      <c r="C30" s="271" t="s">
        <v>13</v>
      </c>
      <c r="D30" s="272"/>
      <c r="E30" s="358" t="s">
        <v>27</v>
      </c>
      <c r="F30" s="234">
        <v>0</v>
      </c>
      <c r="G30" s="206">
        <v>0</v>
      </c>
      <c r="H30" s="207">
        <v>0</v>
      </c>
      <c r="I30" s="205">
        <v>0</v>
      </c>
      <c r="J30" s="206">
        <v>0</v>
      </c>
      <c r="K30" s="207">
        <v>0</v>
      </c>
      <c r="L30" s="205">
        <v>0</v>
      </c>
      <c r="M30" s="206">
        <v>0</v>
      </c>
      <c r="N30" s="54">
        <v>0</v>
      </c>
      <c r="O30" s="22">
        <v>0</v>
      </c>
      <c r="P30" s="23">
        <v>0</v>
      </c>
      <c r="Q30" s="24">
        <v>0</v>
      </c>
      <c r="R30" s="22">
        <v>0</v>
      </c>
      <c r="S30" s="23">
        <v>0</v>
      </c>
      <c r="T30" s="24">
        <v>0</v>
      </c>
      <c r="U30" s="205">
        <v>0</v>
      </c>
      <c r="V30" s="206">
        <v>0</v>
      </c>
      <c r="W30" s="207">
        <v>0</v>
      </c>
      <c r="X30" s="205">
        <v>0</v>
      </c>
      <c r="Y30" s="206">
        <v>0</v>
      </c>
      <c r="Z30" s="207">
        <v>0</v>
      </c>
      <c r="AA30" s="205">
        <v>0</v>
      </c>
      <c r="AB30" s="206">
        <v>0</v>
      </c>
      <c r="AC30" s="207">
        <v>0</v>
      </c>
      <c r="AD30" s="208">
        <v>0</v>
      </c>
      <c r="AE30" s="209">
        <v>0</v>
      </c>
      <c r="AF30" s="210">
        <v>0</v>
      </c>
      <c r="AG30" s="205">
        <v>0</v>
      </c>
      <c r="AH30" s="206">
        <v>0</v>
      </c>
      <c r="AI30" s="207">
        <v>0</v>
      </c>
      <c r="AJ30" s="22">
        <v>0</v>
      </c>
      <c r="AK30" s="23">
        <v>0</v>
      </c>
      <c r="AL30" s="24">
        <v>0</v>
      </c>
      <c r="AM30" s="22">
        <v>0</v>
      </c>
      <c r="AN30" s="23">
        <v>0</v>
      </c>
      <c r="AO30" s="24">
        <v>0</v>
      </c>
    </row>
    <row r="31" spans="1:41" ht="15" customHeight="1">
      <c r="A31" s="368"/>
      <c r="B31" s="254"/>
      <c r="C31" s="251" t="s">
        <v>11</v>
      </c>
      <c r="D31" s="252"/>
      <c r="E31" s="366"/>
      <c r="F31" s="236">
        <v>361</v>
      </c>
      <c r="G31" s="224">
        <v>361</v>
      </c>
      <c r="H31" s="231">
        <v>0</v>
      </c>
      <c r="I31" s="230">
        <v>361</v>
      </c>
      <c r="J31" s="224">
        <v>361</v>
      </c>
      <c r="K31" s="231">
        <v>0</v>
      </c>
      <c r="L31" s="230">
        <v>361</v>
      </c>
      <c r="M31" s="224">
        <v>361</v>
      </c>
      <c r="N31" s="57">
        <v>0</v>
      </c>
      <c r="O31" s="40">
        <v>0</v>
      </c>
      <c r="P31" s="41">
        <v>0</v>
      </c>
      <c r="Q31" s="42">
        <v>0</v>
      </c>
      <c r="R31" s="40">
        <v>0</v>
      </c>
      <c r="S31" s="41">
        <v>0</v>
      </c>
      <c r="T31" s="42">
        <v>0</v>
      </c>
      <c r="U31" s="230">
        <v>0</v>
      </c>
      <c r="V31" s="224">
        <v>361</v>
      </c>
      <c r="W31" s="231">
        <v>0</v>
      </c>
      <c r="X31" s="230">
        <v>0</v>
      </c>
      <c r="Y31" s="224">
        <v>361</v>
      </c>
      <c r="Z31" s="231">
        <v>0</v>
      </c>
      <c r="AA31" s="230">
        <v>0</v>
      </c>
      <c r="AB31" s="224">
        <v>361</v>
      </c>
      <c r="AC31" s="231">
        <v>0</v>
      </c>
      <c r="AD31" s="232">
        <v>0</v>
      </c>
      <c r="AE31" s="224">
        <v>361</v>
      </c>
      <c r="AF31" s="233">
        <v>0</v>
      </c>
      <c r="AG31" s="230">
        <v>0</v>
      </c>
      <c r="AH31" s="224">
        <v>361</v>
      </c>
      <c r="AI31" s="231">
        <v>0</v>
      </c>
      <c r="AJ31" s="40">
        <v>0</v>
      </c>
      <c r="AK31" s="41">
        <v>0</v>
      </c>
      <c r="AL31" s="42">
        <v>0</v>
      </c>
      <c r="AM31" s="40">
        <v>0</v>
      </c>
      <c r="AN31" s="41">
        <v>0</v>
      </c>
      <c r="AO31" s="42">
        <v>0</v>
      </c>
    </row>
    <row r="32" spans="1:41" ht="15" customHeight="1">
      <c r="A32" s="368"/>
      <c r="B32" s="254"/>
      <c r="C32" s="265" t="s">
        <v>12</v>
      </c>
      <c r="D32" s="266"/>
      <c r="E32" s="359"/>
      <c r="F32" s="235">
        <f>F35</f>
        <v>0</v>
      </c>
      <c r="G32" s="219">
        <f>G35</f>
        <v>0</v>
      </c>
      <c r="H32" s="220">
        <f>H35</f>
        <v>0</v>
      </c>
      <c r="I32" s="218">
        <f t="shared" ref="I32:W32" si="0">I35</f>
        <v>0</v>
      </c>
      <c r="J32" s="219">
        <f t="shared" si="0"/>
        <v>0</v>
      </c>
      <c r="K32" s="220">
        <f t="shared" si="0"/>
        <v>0</v>
      </c>
      <c r="L32" s="218">
        <f t="shared" si="0"/>
        <v>0</v>
      </c>
      <c r="M32" s="219">
        <f t="shared" si="0"/>
        <v>0</v>
      </c>
      <c r="N32" s="119">
        <f t="shared" si="0"/>
        <v>0</v>
      </c>
      <c r="O32" s="36">
        <f t="shared" si="0"/>
        <v>0</v>
      </c>
      <c r="P32" s="37">
        <f t="shared" si="0"/>
        <v>0</v>
      </c>
      <c r="Q32" s="38">
        <f t="shared" si="0"/>
        <v>0</v>
      </c>
      <c r="R32" s="36">
        <f t="shared" si="0"/>
        <v>0</v>
      </c>
      <c r="S32" s="37">
        <f t="shared" si="0"/>
        <v>0</v>
      </c>
      <c r="T32" s="38">
        <f t="shared" si="0"/>
        <v>0</v>
      </c>
      <c r="U32" s="218">
        <f t="shared" si="0"/>
        <v>0</v>
      </c>
      <c r="V32" s="219">
        <f t="shared" si="0"/>
        <v>0</v>
      </c>
      <c r="W32" s="220">
        <f t="shared" si="0"/>
        <v>0</v>
      </c>
      <c r="X32" s="218">
        <f>X35</f>
        <v>0</v>
      </c>
      <c r="Y32" s="219">
        <f>Y35</f>
        <v>0</v>
      </c>
      <c r="Z32" s="220">
        <f>Z35</f>
        <v>0</v>
      </c>
      <c r="AA32" s="218">
        <f t="shared" ref="AA32:AI32" si="1">AA35</f>
        <v>0</v>
      </c>
      <c r="AB32" s="219">
        <f t="shared" si="1"/>
        <v>0</v>
      </c>
      <c r="AC32" s="220">
        <f t="shared" si="1"/>
        <v>0</v>
      </c>
      <c r="AD32" s="221">
        <f t="shared" si="1"/>
        <v>0</v>
      </c>
      <c r="AE32" s="222">
        <f t="shared" si="1"/>
        <v>0</v>
      </c>
      <c r="AF32" s="223">
        <f t="shared" si="1"/>
        <v>0</v>
      </c>
      <c r="AG32" s="218">
        <f t="shared" si="1"/>
        <v>0</v>
      </c>
      <c r="AH32" s="219">
        <f t="shared" si="1"/>
        <v>0</v>
      </c>
      <c r="AI32" s="220">
        <f t="shared" si="1"/>
        <v>0</v>
      </c>
      <c r="AJ32" s="36">
        <f t="shared" ref="AJ32:AO32" si="2">AJ35</f>
        <v>0</v>
      </c>
      <c r="AK32" s="37">
        <f t="shared" si="2"/>
        <v>0</v>
      </c>
      <c r="AL32" s="38">
        <f t="shared" si="2"/>
        <v>0</v>
      </c>
      <c r="AM32" s="36">
        <f t="shared" si="2"/>
        <v>0</v>
      </c>
      <c r="AN32" s="37">
        <f t="shared" si="2"/>
        <v>0</v>
      </c>
      <c r="AO32" s="38">
        <f t="shared" si="2"/>
        <v>0</v>
      </c>
    </row>
    <row r="33" spans="1:41" ht="15" customHeight="1">
      <c r="A33" s="368"/>
      <c r="B33" s="254"/>
      <c r="C33" s="267" t="s">
        <v>13</v>
      </c>
      <c r="D33" s="268"/>
      <c r="E33" s="279" t="s">
        <v>25</v>
      </c>
      <c r="F33" s="76">
        <v>0</v>
      </c>
      <c r="G33" s="26">
        <v>0</v>
      </c>
      <c r="H33" s="39">
        <v>0</v>
      </c>
      <c r="I33" s="25">
        <v>0</v>
      </c>
      <c r="J33" s="26">
        <v>0</v>
      </c>
      <c r="K33" s="39">
        <v>0</v>
      </c>
      <c r="L33" s="25">
        <v>0</v>
      </c>
      <c r="M33" s="26">
        <v>0</v>
      </c>
      <c r="N33" s="56">
        <v>0</v>
      </c>
      <c r="O33" s="25">
        <v>0</v>
      </c>
      <c r="P33" s="26">
        <v>0</v>
      </c>
      <c r="Q33" s="39">
        <v>0</v>
      </c>
      <c r="R33" s="25">
        <v>0</v>
      </c>
      <c r="S33" s="26">
        <v>0</v>
      </c>
      <c r="T33" s="39">
        <v>0</v>
      </c>
      <c r="U33" s="25">
        <v>0</v>
      </c>
      <c r="V33" s="217"/>
      <c r="W33" s="39">
        <v>0</v>
      </c>
      <c r="X33" s="25">
        <v>0</v>
      </c>
      <c r="Y33" s="26">
        <v>0</v>
      </c>
      <c r="Z33" s="39">
        <v>0</v>
      </c>
      <c r="AA33" s="25">
        <v>0</v>
      </c>
      <c r="AB33" s="26">
        <v>0</v>
      </c>
      <c r="AC33" s="39">
        <v>0</v>
      </c>
      <c r="AD33" s="164">
        <v>0</v>
      </c>
      <c r="AE33" s="165">
        <v>0</v>
      </c>
      <c r="AF33" s="166">
        <v>0</v>
      </c>
      <c r="AG33" s="25">
        <v>0</v>
      </c>
      <c r="AH33" s="26">
        <v>0</v>
      </c>
      <c r="AI33" s="39">
        <v>0</v>
      </c>
      <c r="AJ33" s="25">
        <v>0</v>
      </c>
      <c r="AK33" s="26">
        <v>0</v>
      </c>
      <c r="AL33" s="39">
        <v>0</v>
      </c>
      <c r="AM33" s="25">
        <v>0</v>
      </c>
      <c r="AN33" s="26">
        <v>0</v>
      </c>
      <c r="AO33" s="39">
        <v>0</v>
      </c>
    </row>
    <row r="34" spans="1:41" ht="15" customHeight="1">
      <c r="A34" s="368"/>
      <c r="B34" s="254"/>
      <c r="C34" s="251" t="s">
        <v>11</v>
      </c>
      <c r="D34" s="252"/>
      <c r="E34" s="365"/>
      <c r="F34" s="129">
        <v>500</v>
      </c>
      <c r="G34" s="41">
        <v>500</v>
      </c>
      <c r="H34" s="42">
        <v>0</v>
      </c>
      <c r="I34" s="40">
        <v>500</v>
      </c>
      <c r="J34" s="41">
        <v>500</v>
      </c>
      <c r="K34" s="42">
        <v>0</v>
      </c>
      <c r="L34" s="40">
        <v>500</v>
      </c>
      <c r="M34" s="41">
        <v>500</v>
      </c>
      <c r="N34" s="42">
        <v>0</v>
      </c>
      <c r="O34" s="40">
        <v>0</v>
      </c>
      <c r="P34" s="41">
        <v>0</v>
      </c>
      <c r="Q34" s="42">
        <v>0</v>
      </c>
      <c r="R34" s="41">
        <v>0</v>
      </c>
      <c r="S34" s="41">
        <v>0</v>
      </c>
      <c r="T34" s="42">
        <v>0</v>
      </c>
      <c r="U34" s="40">
        <v>500</v>
      </c>
      <c r="V34" s="40">
        <v>500</v>
      </c>
      <c r="W34" s="42">
        <v>0</v>
      </c>
      <c r="X34" s="40">
        <v>500</v>
      </c>
      <c r="Y34" s="41">
        <v>500</v>
      </c>
      <c r="Z34" s="42">
        <v>0</v>
      </c>
      <c r="AA34" s="40">
        <v>500</v>
      </c>
      <c r="AB34" s="41">
        <v>500</v>
      </c>
      <c r="AC34" s="42">
        <v>0</v>
      </c>
      <c r="AD34" s="167">
        <v>500</v>
      </c>
      <c r="AE34" s="168">
        <v>500</v>
      </c>
      <c r="AF34" s="169">
        <v>0</v>
      </c>
      <c r="AG34" s="40">
        <v>500</v>
      </c>
      <c r="AH34" s="41">
        <v>500</v>
      </c>
      <c r="AI34" s="42">
        <v>0</v>
      </c>
      <c r="AJ34" s="40">
        <v>0</v>
      </c>
      <c r="AK34" s="41">
        <v>0</v>
      </c>
      <c r="AL34" s="42">
        <v>0</v>
      </c>
      <c r="AM34" s="40">
        <v>0</v>
      </c>
      <c r="AN34" s="41">
        <v>0</v>
      </c>
      <c r="AO34" s="42">
        <v>0</v>
      </c>
    </row>
    <row r="35" spans="1:41" ht="15" customHeight="1" thickBot="1">
      <c r="A35" s="368"/>
      <c r="B35" s="255"/>
      <c r="C35" s="269" t="s">
        <v>12</v>
      </c>
      <c r="D35" s="270"/>
      <c r="E35" s="280"/>
      <c r="F35" s="68">
        <v>0</v>
      </c>
      <c r="G35" s="30">
        <v>0</v>
      </c>
      <c r="H35" s="31">
        <v>0</v>
      </c>
      <c r="I35" s="29">
        <v>0</v>
      </c>
      <c r="J35" s="30">
        <v>0</v>
      </c>
      <c r="K35" s="31">
        <v>0</v>
      </c>
      <c r="L35" s="29">
        <v>0</v>
      </c>
      <c r="M35" s="30">
        <v>0</v>
      </c>
      <c r="N35" s="55">
        <v>0</v>
      </c>
      <c r="O35" s="29">
        <v>0</v>
      </c>
      <c r="P35" s="30">
        <v>0</v>
      </c>
      <c r="Q35" s="31">
        <v>0</v>
      </c>
      <c r="R35" s="29">
        <v>0</v>
      </c>
      <c r="S35" s="30">
        <v>0</v>
      </c>
      <c r="T35" s="31">
        <v>0</v>
      </c>
      <c r="U35" s="29">
        <v>0</v>
      </c>
      <c r="V35" s="30">
        <v>0</v>
      </c>
      <c r="W35" s="31">
        <v>0</v>
      </c>
      <c r="X35" s="29">
        <v>0</v>
      </c>
      <c r="Y35" s="30">
        <v>0</v>
      </c>
      <c r="Z35" s="31">
        <v>0</v>
      </c>
      <c r="AA35" s="29">
        <v>0</v>
      </c>
      <c r="AB35" s="30">
        <v>0</v>
      </c>
      <c r="AC35" s="31">
        <v>0</v>
      </c>
      <c r="AD35" s="157">
        <v>0</v>
      </c>
      <c r="AE35" s="158">
        <v>0</v>
      </c>
      <c r="AF35" s="159">
        <v>0</v>
      </c>
      <c r="AG35" s="29">
        <v>0</v>
      </c>
      <c r="AH35" s="30">
        <v>0</v>
      </c>
      <c r="AI35" s="31">
        <v>0</v>
      </c>
      <c r="AJ35" s="29">
        <v>0</v>
      </c>
      <c r="AK35" s="30">
        <v>0</v>
      </c>
      <c r="AL35" s="31">
        <v>0</v>
      </c>
      <c r="AM35" s="29">
        <v>0</v>
      </c>
      <c r="AN35" s="30">
        <v>0</v>
      </c>
      <c r="AO35" s="31">
        <v>0</v>
      </c>
    </row>
    <row r="36" spans="1:41" ht="15" hidden="1" customHeight="1">
      <c r="A36" s="368"/>
      <c r="B36" s="305" t="s">
        <v>30</v>
      </c>
      <c r="C36" s="271" t="s">
        <v>31</v>
      </c>
      <c r="D36" s="272"/>
      <c r="E36" s="360" t="s">
        <v>25</v>
      </c>
      <c r="F36" s="69">
        <v>0</v>
      </c>
      <c r="G36" s="23">
        <v>0</v>
      </c>
      <c r="H36" s="24">
        <v>0</v>
      </c>
      <c r="I36" s="22">
        <v>0</v>
      </c>
      <c r="J36" s="23">
        <v>0</v>
      </c>
      <c r="K36" s="24">
        <v>0</v>
      </c>
      <c r="L36" s="22">
        <v>0</v>
      </c>
      <c r="M36" s="23">
        <v>0</v>
      </c>
      <c r="N36" s="54">
        <v>0</v>
      </c>
      <c r="O36" s="22">
        <v>0</v>
      </c>
      <c r="P36" s="23">
        <v>0</v>
      </c>
      <c r="Q36" s="24">
        <v>0</v>
      </c>
      <c r="R36" s="22">
        <v>0</v>
      </c>
      <c r="S36" s="23">
        <v>0</v>
      </c>
      <c r="T36" s="24">
        <v>0</v>
      </c>
      <c r="U36" s="22">
        <v>0</v>
      </c>
      <c r="V36" s="23">
        <v>0</v>
      </c>
      <c r="W36" s="24">
        <v>0</v>
      </c>
      <c r="X36" s="22">
        <v>0</v>
      </c>
      <c r="Y36" s="23">
        <v>0</v>
      </c>
      <c r="Z36" s="24">
        <v>0</v>
      </c>
      <c r="AA36" s="22">
        <v>0</v>
      </c>
      <c r="AB36" s="23">
        <v>0</v>
      </c>
      <c r="AC36" s="24">
        <v>0</v>
      </c>
      <c r="AD36" s="155">
        <v>0</v>
      </c>
      <c r="AE36" s="156">
        <v>0</v>
      </c>
      <c r="AF36" s="160">
        <v>0</v>
      </c>
      <c r="AG36" s="22">
        <v>0</v>
      </c>
      <c r="AH36" s="23">
        <v>0</v>
      </c>
      <c r="AI36" s="24">
        <v>0</v>
      </c>
      <c r="AJ36" s="22">
        <v>0</v>
      </c>
      <c r="AK36" s="23">
        <v>0</v>
      </c>
      <c r="AL36" s="24">
        <v>0</v>
      </c>
      <c r="AM36" s="22">
        <v>0</v>
      </c>
      <c r="AN36" s="23">
        <v>0</v>
      </c>
      <c r="AO36" s="24">
        <v>0</v>
      </c>
    </row>
    <row r="37" spans="1:41" ht="15" hidden="1" customHeight="1" thickBot="1">
      <c r="A37" s="368"/>
      <c r="B37" s="306"/>
      <c r="C37" s="273" t="s">
        <v>14</v>
      </c>
      <c r="D37" s="274"/>
      <c r="E37" s="361"/>
      <c r="F37" s="71">
        <v>0</v>
      </c>
      <c r="G37" s="33">
        <v>0</v>
      </c>
      <c r="H37" s="34">
        <v>0</v>
      </c>
      <c r="I37" s="32">
        <v>0</v>
      </c>
      <c r="J37" s="33">
        <v>0</v>
      </c>
      <c r="K37" s="34">
        <v>0</v>
      </c>
      <c r="L37" s="32">
        <v>0</v>
      </c>
      <c r="M37" s="33">
        <v>0</v>
      </c>
      <c r="N37" s="117">
        <v>0</v>
      </c>
      <c r="O37" s="32">
        <v>0</v>
      </c>
      <c r="P37" s="33">
        <v>0</v>
      </c>
      <c r="Q37" s="34">
        <v>0</v>
      </c>
      <c r="R37" s="32">
        <v>0</v>
      </c>
      <c r="S37" s="33">
        <v>0</v>
      </c>
      <c r="T37" s="34">
        <v>0</v>
      </c>
      <c r="U37" s="32">
        <v>0</v>
      </c>
      <c r="V37" s="33">
        <v>0</v>
      </c>
      <c r="W37" s="34">
        <v>0</v>
      </c>
      <c r="X37" s="32">
        <v>0</v>
      </c>
      <c r="Y37" s="33">
        <v>0</v>
      </c>
      <c r="Z37" s="34">
        <v>0</v>
      </c>
      <c r="AA37" s="32">
        <v>0</v>
      </c>
      <c r="AB37" s="33">
        <v>0</v>
      </c>
      <c r="AC37" s="34">
        <v>0</v>
      </c>
      <c r="AD37" s="161">
        <v>0</v>
      </c>
      <c r="AE37" s="162">
        <v>0</v>
      </c>
      <c r="AF37" s="163">
        <v>0</v>
      </c>
      <c r="AG37" s="32">
        <v>0</v>
      </c>
      <c r="AH37" s="33">
        <v>0</v>
      </c>
      <c r="AI37" s="34">
        <v>0</v>
      </c>
      <c r="AJ37" s="32">
        <v>0</v>
      </c>
      <c r="AK37" s="33">
        <v>0</v>
      </c>
      <c r="AL37" s="34">
        <v>0</v>
      </c>
      <c r="AM37" s="32">
        <v>0</v>
      </c>
      <c r="AN37" s="33">
        <v>0</v>
      </c>
      <c r="AO37" s="34">
        <v>0</v>
      </c>
    </row>
    <row r="38" spans="1:41" ht="15" hidden="1" customHeight="1">
      <c r="A38" s="368"/>
      <c r="B38" s="272" t="s">
        <v>79</v>
      </c>
      <c r="C38" s="271" t="s">
        <v>33</v>
      </c>
      <c r="D38" s="271"/>
      <c r="E38" s="133" t="s">
        <v>24</v>
      </c>
      <c r="F38" s="69" t="e">
        <v>#VALUE!</v>
      </c>
      <c r="G38" s="23" t="e">
        <v>#VALUE!</v>
      </c>
      <c r="H38" s="24" t="e">
        <v>#VALUE!</v>
      </c>
      <c r="I38" s="22" t="e">
        <v>#VALUE!</v>
      </c>
      <c r="J38" s="23" t="e">
        <v>#VALUE!</v>
      </c>
      <c r="K38" s="24" t="e">
        <v>#VALUE!</v>
      </c>
      <c r="L38" s="22" t="e">
        <v>#VALUE!</v>
      </c>
      <c r="M38" s="23" t="e">
        <v>#VALUE!</v>
      </c>
      <c r="N38" s="54" t="e">
        <v>#VALUE!</v>
      </c>
      <c r="O38" s="24" t="e">
        <v>#VALUE!</v>
      </c>
      <c r="P38" s="24" t="e">
        <v>#VALUE!</v>
      </c>
      <c r="Q38" s="24" t="e">
        <v>#VALUE!</v>
      </c>
      <c r="R38" s="22" t="e">
        <v>#VALUE!</v>
      </c>
      <c r="S38" s="23" t="e">
        <v>#VALUE!</v>
      </c>
      <c r="T38" s="24" t="e">
        <v>#VALUE!</v>
      </c>
      <c r="U38" s="22" t="e">
        <v>#VALUE!</v>
      </c>
      <c r="V38" s="23" t="e">
        <v>#VALUE!</v>
      </c>
      <c r="W38" s="24" t="e">
        <v>#VALUE!</v>
      </c>
      <c r="X38" s="22" t="e">
        <v>#VALUE!</v>
      </c>
      <c r="Y38" s="23" t="e">
        <v>#VALUE!</v>
      </c>
      <c r="Z38" s="24" t="e">
        <v>#VALUE!</v>
      </c>
      <c r="AA38" s="22" t="e">
        <v>#VALUE!</v>
      </c>
      <c r="AB38" s="23" t="e">
        <v>#VALUE!</v>
      </c>
      <c r="AC38" s="24" t="e">
        <v>#VALUE!</v>
      </c>
      <c r="AD38" s="155" t="e">
        <v>#VALUE!</v>
      </c>
      <c r="AE38" s="156" t="e">
        <v>#VALUE!</v>
      </c>
      <c r="AF38" s="160" t="e">
        <v>#VALUE!</v>
      </c>
      <c r="AG38" s="22" t="e">
        <v>#VALUE!</v>
      </c>
      <c r="AH38" s="23" t="e">
        <v>#VALUE!</v>
      </c>
      <c r="AI38" s="24" t="e">
        <v>#VALUE!</v>
      </c>
      <c r="AJ38" s="22" t="e">
        <v>#VALUE!</v>
      </c>
      <c r="AK38" s="23" t="e">
        <v>#VALUE!</v>
      </c>
      <c r="AL38" s="24" t="e">
        <v>#VALUE!</v>
      </c>
      <c r="AM38" s="22" t="e">
        <v>#VALUE!</v>
      </c>
      <c r="AN38" s="23" t="e">
        <v>#VALUE!</v>
      </c>
      <c r="AO38" s="24" t="e">
        <v>#VALUE!</v>
      </c>
    </row>
    <row r="39" spans="1:41" ht="15" hidden="1" customHeight="1" thickBot="1">
      <c r="A39" s="368"/>
      <c r="B39" s="270"/>
      <c r="C39" s="269" t="s">
        <v>32</v>
      </c>
      <c r="D39" s="270"/>
      <c r="E39" s="134" t="s">
        <v>24</v>
      </c>
      <c r="F39" s="68" t="e">
        <v>#VALUE!</v>
      </c>
      <c r="G39" s="30" t="e">
        <v>#VALUE!</v>
      </c>
      <c r="H39" s="31" t="e">
        <v>#VALUE!</v>
      </c>
      <c r="I39" s="29" t="e">
        <v>#VALUE!</v>
      </c>
      <c r="J39" s="30" t="e">
        <v>#VALUE!</v>
      </c>
      <c r="K39" s="31" t="e">
        <v>#VALUE!</v>
      </c>
      <c r="L39" s="29" t="e">
        <v>#VALUE!</v>
      </c>
      <c r="M39" s="30" t="e">
        <v>#VALUE!</v>
      </c>
      <c r="N39" s="55" t="e">
        <v>#VALUE!</v>
      </c>
      <c r="O39" s="68" t="e">
        <v>#VALUE!</v>
      </c>
      <c r="P39" s="30" t="e">
        <v>#VALUE!</v>
      </c>
      <c r="Q39" s="31" t="e">
        <v>#VALUE!</v>
      </c>
      <c r="R39" s="68" t="e">
        <v>#VALUE!</v>
      </c>
      <c r="S39" s="30" t="e">
        <v>#VALUE!</v>
      </c>
      <c r="T39" s="31" t="e">
        <v>#VALUE!</v>
      </c>
      <c r="U39" s="68" t="e">
        <v>#VALUE!</v>
      </c>
      <c r="V39" s="30" t="e">
        <v>#VALUE!</v>
      </c>
      <c r="W39" s="31" t="e">
        <v>#VALUE!</v>
      </c>
      <c r="X39" s="68" t="e">
        <v>#VALUE!</v>
      </c>
      <c r="Y39" s="30" t="e">
        <v>#VALUE!</v>
      </c>
      <c r="Z39" s="31" t="e">
        <v>#VALUE!</v>
      </c>
      <c r="AA39" s="68" t="e">
        <v>#VALUE!</v>
      </c>
      <c r="AB39" s="30" t="e">
        <v>#VALUE!</v>
      </c>
      <c r="AC39" s="31" t="e">
        <v>#VALUE!</v>
      </c>
      <c r="AD39" s="157" t="e">
        <v>#VALUE!</v>
      </c>
      <c r="AE39" s="158" t="e">
        <v>#VALUE!</v>
      </c>
      <c r="AF39" s="159" t="e">
        <v>#VALUE!</v>
      </c>
      <c r="AG39" s="29" t="e">
        <v>#VALUE!</v>
      </c>
      <c r="AH39" s="30" t="e">
        <v>#VALUE!</v>
      </c>
      <c r="AI39" s="31" t="e">
        <v>#VALUE!</v>
      </c>
      <c r="AJ39" s="29" t="e">
        <v>#VALUE!</v>
      </c>
      <c r="AK39" s="30" t="e">
        <v>#VALUE!</v>
      </c>
      <c r="AL39" s="31" t="e">
        <v>#VALUE!</v>
      </c>
      <c r="AM39" s="29" t="e">
        <v>#VALUE!</v>
      </c>
      <c r="AN39" s="30" t="e">
        <v>#VALUE!</v>
      </c>
      <c r="AO39" s="31" t="e">
        <v>#VALUE!</v>
      </c>
    </row>
    <row r="40" spans="1:41" ht="15" hidden="1" customHeight="1">
      <c r="A40" s="368"/>
      <c r="B40" s="301" t="s">
        <v>80</v>
      </c>
      <c r="C40" s="281" t="s">
        <v>33</v>
      </c>
      <c r="D40" s="281"/>
      <c r="E40" s="133" t="s">
        <v>24</v>
      </c>
      <c r="F40" s="69" t="e">
        <v>#VALUE!</v>
      </c>
      <c r="G40" s="23" t="e">
        <v>#VALUE!</v>
      </c>
      <c r="H40" s="24" t="e">
        <v>#VALUE!</v>
      </c>
      <c r="I40" s="22" t="e">
        <v>#VALUE!</v>
      </c>
      <c r="J40" s="23" t="e">
        <v>#VALUE!</v>
      </c>
      <c r="K40" s="24" t="e">
        <v>#VALUE!</v>
      </c>
      <c r="L40" s="22" t="e">
        <v>#VALUE!</v>
      </c>
      <c r="M40" s="23" t="e">
        <v>#VALUE!</v>
      </c>
      <c r="N40" s="54" t="e">
        <v>#VALUE!</v>
      </c>
      <c r="O40" s="45" t="e">
        <v>#VALUE!</v>
      </c>
      <c r="P40" s="43" t="e">
        <v>#VALUE!</v>
      </c>
      <c r="Q40" s="44" t="e">
        <v>#VALUE!</v>
      </c>
      <c r="R40" s="22" t="e">
        <v>#VALUE!</v>
      </c>
      <c r="S40" s="23" t="e">
        <v>#VALUE!</v>
      </c>
      <c r="T40" s="23" t="e">
        <v>#VALUE!</v>
      </c>
      <c r="U40" s="22" t="e">
        <v>#VALUE!</v>
      </c>
      <c r="V40" s="23" t="e">
        <v>#VALUE!</v>
      </c>
      <c r="W40" s="24" t="e">
        <v>#VALUE!</v>
      </c>
      <c r="X40" s="22" t="e">
        <v>#VALUE!</v>
      </c>
      <c r="Y40" s="23" t="e">
        <v>#VALUE!</v>
      </c>
      <c r="Z40" s="24" t="e">
        <v>#VALUE!</v>
      </c>
      <c r="AA40" s="22" t="e">
        <v>#VALUE!</v>
      </c>
      <c r="AB40" s="23" t="e">
        <v>#VALUE!</v>
      </c>
      <c r="AC40" s="24" t="e">
        <v>#VALUE!</v>
      </c>
      <c r="AD40" s="155" t="e">
        <v>#VALUE!</v>
      </c>
      <c r="AE40" s="156" t="e">
        <v>#VALUE!</v>
      </c>
      <c r="AF40" s="160" t="e">
        <v>#VALUE!</v>
      </c>
      <c r="AG40" s="22" t="e">
        <v>#VALUE!</v>
      </c>
      <c r="AH40" s="23" t="e">
        <v>#VALUE!</v>
      </c>
      <c r="AI40" s="24" t="e">
        <v>#VALUE!</v>
      </c>
      <c r="AJ40" s="22" t="e">
        <v>#VALUE!</v>
      </c>
      <c r="AK40" s="23" t="e">
        <v>#VALUE!</v>
      </c>
      <c r="AL40" s="24" t="e">
        <v>#VALUE!</v>
      </c>
      <c r="AM40" s="22" t="e">
        <v>#VALUE!</v>
      </c>
      <c r="AN40" s="23" t="e">
        <v>#VALUE!</v>
      </c>
      <c r="AO40" s="24" t="e">
        <v>#VALUE!</v>
      </c>
    </row>
    <row r="41" spans="1:41" ht="15" hidden="1" customHeight="1">
      <c r="A41" s="368"/>
      <c r="B41" s="285"/>
      <c r="C41" s="275" t="s">
        <v>32</v>
      </c>
      <c r="D41" s="275"/>
      <c r="E41" s="135" t="s">
        <v>24</v>
      </c>
      <c r="F41" s="71" t="e">
        <v>#VALUE!</v>
      </c>
      <c r="G41" s="33" t="e">
        <v>#VALUE!</v>
      </c>
      <c r="H41" s="34" t="e">
        <v>#VALUE!</v>
      </c>
      <c r="I41" s="32" t="e">
        <v>#VALUE!</v>
      </c>
      <c r="J41" s="33" t="e">
        <v>#VALUE!</v>
      </c>
      <c r="K41" s="34" t="e">
        <v>#VALUE!</v>
      </c>
      <c r="L41" s="32" t="e">
        <v>#VALUE!</v>
      </c>
      <c r="M41" s="33" t="e">
        <v>#VALUE!</v>
      </c>
      <c r="N41" s="117" t="e">
        <v>#VALUE!</v>
      </c>
      <c r="O41" s="32" t="e">
        <v>#VALUE!</v>
      </c>
      <c r="P41" s="33" t="e">
        <v>#VALUE!</v>
      </c>
      <c r="Q41" s="34" t="e">
        <v>#VALUE!</v>
      </c>
      <c r="R41" s="32">
        <v>390</v>
      </c>
      <c r="S41" s="33">
        <v>390</v>
      </c>
      <c r="T41" s="34">
        <v>390</v>
      </c>
      <c r="U41" s="32">
        <v>390</v>
      </c>
      <c r="V41" s="33">
        <v>390</v>
      </c>
      <c r="W41" s="34">
        <v>390</v>
      </c>
      <c r="X41" s="32">
        <v>390</v>
      </c>
      <c r="Y41" s="33">
        <v>390</v>
      </c>
      <c r="Z41" s="34">
        <v>390</v>
      </c>
      <c r="AA41" s="32">
        <v>390</v>
      </c>
      <c r="AB41" s="33">
        <v>390</v>
      </c>
      <c r="AC41" s="34">
        <v>390</v>
      </c>
      <c r="AD41" s="161">
        <v>390</v>
      </c>
      <c r="AE41" s="162">
        <v>390</v>
      </c>
      <c r="AF41" s="163">
        <v>390</v>
      </c>
      <c r="AG41" s="32" t="e">
        <v>#VALUE!</v>
      </c>
      <c r="AH41" s="33" t="e">
        <v>#VALUE!</v>
      </c>
      <c r="AI41" s="34" t="e">
        <v>#VALUE!</v>
      </c>
      <c r="AJ41" s="32" t="e">
        <v>#VALUE!</v>
      </c>
      <c r="AK41" s="33" t="e">
        <v>#VALUE!</v>
      </c>
      <c r="AL41" s="34" t="e">
        <v>#VALUE!</v>
      </c>
      <c r="AM41" s="32" t="e">
        <v>#VALUE!</v>
      </c>
      <c r="AN41" s="33" t="e">
        <v>#VALUE!</v>
      </c>
      <c r="AO41" s="34" t="e">
        <v>#VALUE!</v>
      </c>
    </row>
    <row r="42" spans="1:41" ht="15" customHeight="1">
      <c r="A42" s="368"/>
      <c r="B42" s="285"/>
      <c r="C42" s="278" t="s">
        <v>33</v>
      </c>
      <c r="D42" s="278"/>
      <c r="E42" s="136" t="s">
        <v>25</v>
      </c>
      <c r="F42" s="76">
        <v>0</v>
      </c>
      <c r="G42" s="76">
        <v>0</v>
      </c>
      <c r="H42" s="92">
        <v>0</v>
      </c>
      <c r="I42" s="25">
        <v>0</v>
      </c>
      <c r="J42" s="76">
        <v>0</v>
      </c>
      <c r="K42" s="86">
        <v>0</v>
      </c>
      <c r="L42" s="25">
        <v>0</v>
      </c>
      <c r="M42" s="76">
        <v>0</v>
      </c>
      <c r="N42" s="39">
        <v>0</v>
      </c>
      <c r="O42" s="25">
        <v>0</v>
      </c>
      <c r="P42" s="76">
        <v>0</v>
      </c>
      <c r="Q42" s="92">
        <v>0</v>
      </c>
      <c r="R42" s="25">
        <v>0</v>
      </c>
      <c r="S42" s="26">
        <v>0</v>
      </c>
      <c r="T42" s="39">
        <v>0</v>
      </c>
      <c r="U42" s="25">
        <v>0</v>
      </c>
      <c r="V42" s="26">
        <v>0</v>
      </c>
      <c r="W42" s="39">
        <v>0</v>
      </c>
      <c r="X42" s="25">
        <v>0</v>
      </c>
      <c r="Y42" s="26">
        <v>0</v>
      </c>
      <c r="Z42" s="39">
        <v>0</v>
      </c>
      <c r="AA42" s="25">
        <v>0</v>
      </c>
      <c r="AB42" s="26">
        <v>0</v>
      </c>
      <c r="AC42" s="39">
        <v>0</v>
      </c>
      <c r="AD42" s="164">
        <v>0</v>
      </c>
      <c r="AE42" s="165">
        <v>0</v>
      </c>
      <c r="AF42" s="166">
        <v>0</v>
      </c>
      <c r="AG42" s="76">
        <v>0</v>
      </c>
      <c r="AH42" s="76">
        <v>0</v>
      </c>
      <c r="AI42" s="86">
        <v>0</v>
      </c>
      <c r="AJ42" s="25">
        <v>0</v>
      </c>
      <c r="AK42" s="76">
        <v>0</v>
      </c>
      <c r="AL42" s="92">
        <v>0</v>
      </c>
      <c r="AM42" s="25">
        <v>0</v>
      </c>
      <c r="AN42" s="76">
        <v>0</v>
      </c>
      <c r="AO42" s="86">
        <v>0</v>
      </c>
    </row>
    <row r="43" spans="1:41" ht="15" customHeight="1">
      <c r="A43" s="368"/>
      <c r="B43" s="285"/>
      <c r="C43" s="286" t="s">
        <v>32</v>
      </c>
      <c r="D43" s="286"/>
      <c r="E43" s="137" t="s">
        <v>25</v>
      </c>
      <c r="F43" s="129">
        <v>0</v>
      </c>
      <c r="G43" s="129">
        <v>0</v>
      </c>
      <c r="H43" s="130">
        <v>0</v>
      </c>
      <c r="I43" s="40">
        <v>0</v>
      </c>
      <c r="J43" s="129">
        <v>0</v>
      </c>
      <c r="K43" s="131">
        <v>0</v>
      </c>
      <c r="L43" s="40">
        <v>0</v>
      </c>
      <c r="M43" s="129">
        <v>0</v>
      </c>
      <c r="N43" s="42">
        <v>0</v>
      </c>
      <c r="O43" s="40">
        <v>0</v>
      </c>
      <c r="P43" s="129">
        <v>0</v>
      </c>
      <c r="Q43" s="130">
        <v>0</v>
      </c>
      <c r="R43" s="40">
        <v>0</v>
      </c>
      <c r="S43" s="41">
        <v>0</v>
      </c>
      <c r="T43" s="42">
        <v>0</v>
      </c>
      <c r="U43" s="40">
        <v>0</v>
      </c>
      <c r="V43" s="41">
        <v>0</v>
      </c>
      <c r="W43" s="42">
        <v>0</v>
      </c>
      <c r="X43" s="40">
        <v>0</v>
      </c>
      <c r="Y43" s="41">
        <v>0</v>
      </c>
      <c r="Z43" s="42">
        <v>0</v>
      </c>
      <c r="AA43" s="40">
        <v>0</v>
      </c>
      <c r="AB43" s="41">
        <v>0</v>
      </c>
      <c r="AC43" s="42">
        <v>0</v>
      </c>
      <c r="AD43" s="167">
        <v>0</v>
      </c>
      <c r="AE43" s="168">
        <v>0</v>
      </c>
      <c r="AF43" s="169">
        <v>0</v>
      </c>
      <c r="AG43" s="129">
        <v>0</v>
      </c>
      <c r="AH43" s="129">
        <v>0</v>
      </c>
      <c r="AI43" s="131">
        <v>0</v>
      </c>
      <c r="AJ43" s="40">
        <v>0</v>
      </c>
      <c r="AK43" s="129">
        <v>0</v>
      </c>
      <c r="AL43" s="130">
        <v>0</v>
      </c>
      <c r="AM43" s="40">
        <v>0</v>
      </c>
      <c r="AN43" s="129">
        <v>0</v>
      </c>
      <c r="AO43" s="131">
        <v>0</v>
      </c>
    </row>
    <row r="44" spans="1:41" ht="15" customHeight="1" thickBot="1">
      <c r="A44" s="368"/>
      <c r="B44" s="303"/>
      <c r="C44" s="364" t="s">
        <v>18</v>
      </c>
      <c r="D44" s="364"/>
      <c r="E44" s="138" t="s">
        <v>25</v>
      </c>
      <c r="F44" s="68">
        <v>0</v>
      </c>
      <c r="G44" s="68">
        <v>0</v>
      </c>
      <c r="H44" s="93">
        <v>0</v>
      </c>
      <c r="I44" s="68">
        <v>0</v>
      </c>
      <c r="J44" s="68">
        <v>0</v>
      </c>
      <c r="K44" s="93">
        <v>0</v>
      </c>
      <c r="L44" s="68">
        <v>0</v>
      </c>
      <c r="M44" s="68">
        <v>0</v>
      </c>
      <c r="N44" s="93">
        <v>0</v>
      </c>
      <c r="O44" s="29">
        <v>0</v>
      </c>
      <c r="P44" s="68">
        <v>0</v>
      </c>
      <c r="Q44" s="93">
        <v>0</v>
      </c>
      <c r="R44" s="29">
        <v>0</v>
      </c>
      <c r="S44" s="30">
        <v>0</v>
      </c>
      <c r="T44" s="31">
        <v>0</v>
      </c>
      <c r="U44" s="29">
        <v>0</v>
      </c>
      <c r="V44" s="30">
        <v>366</v>
      </c>
      <c r="W44" s="31">
        <v>0</v>
      </c>
      <c r="X44" s="29">
        <v>0</v>
      </c>
      <c r="Y44" s="30">
        <v>366</v>
      </c>
      <c r="Z44" s="31">
        <v>0</v>
      </c>
      <c r="AA44" s="29">
        <v>0</v>
      </c>
      <c r="AB44" s="30">
        <v>366</v>
      </c>
      <c r="AC44" s="31">
        <v>0</v>
      </c>
      <c r="AD44" s="157">
        <v>0</v>
      </c>
      <c r="AE44" s="158">
        <v>366</v>
      </c>
      <c r="AF44" s="159">
        <v>0</v>
      </c>
      <c r="AG44" s="68">
        <v>0</v>
      </c>
      <c r="AH44" s="68">
        <v>0</v>
      </c>
      <c r="AI44" s="87">
        <v>0</v>
      </c>
      <c r="AJ44" s="29">
        <v>0</v>
      </c>
      <c r="AK44" s="68">
        <v>0</v>
      </c>
      <c r="AL44" s="93">
        <v>0</v>
      </c>
      <c r="AM44" s="29">
        <v>0</v>
      </c>
      <c r="AN44" s="68">
        <v>0</v>
      </c>
      <c r="AO44" s="87">
        <v>0</v>
      </c>
    </row>
    <row r="45" spans="1:41" ht="15" customHeight="1">
      <c r="A45" s="368"/>
      <c r="B45" s="284" t="s">
        <v>90</v>
      </c>
      <c r="C45" s="344" t="s">
        <v>18</v>
      </c>
      <c r="D45" s="344"/>
      <c r="E45" s="133" t="s">
        <v>24</v>
      </c>
      <c r="F45" s="22"/>
      <c r="G45" s="23"/>
      <c r="H45" s="24"/>
      <c r="I45" s="22"/>
      <c r="J45" s="23">
        <v>0</v>
      </c>
      <c r="K45" s="24">
        <v>0</v>
      </c>
      <c r="L45" s="45"/>
      <c r="M45" s="43"/>
      <c r="N45" s="58"/>
      <c r="O45" s="22">
        <v>511</v>
      </c>
      <c r="P45" s="23">
        <v>511</v>
      </c>
      <c r="Q45" s="24">
        <v>511</v>
      </c>
      <c r="R45" s="22">
        <v>511</v>
      </c>
      <c r="S45" s="23">
        <v>511</v>
      </c>
      <c r="T45" s="24">
        <v>511</v>
      </c>
      <c r="U45" s="45"/>
      <c r="V45" s="43"/>
      <c r="W45" s="58"/>
      <c r="X45" s="22"/>
      <c r="Y45" s="23"/>
      <c r="Z45" s="24">
        <v>0</v>
      </c>
      <c r="AA45" s="22"/>
      <c r="AB45" s="23"/>
      <c r="AC45" s="24"/>
      <c r="AD45" s="160"/>
      <c r="AE45" s="160"/>
      <c r="AF45" s="160"/>
      <c r="AG45" s="24"/>
      <c r="AH45" s="24"/>
      <c r="AI45" s="24"/>
      <c r="AJ45" s="22"/>
      <c r="AK45" s="23"/>
      <c r="AL45" s="24"/>
      <c r="AM45" s="22"/>
      <c r="AN45" s="23"/>
      <c r="AO45" s="24"/>
    </row>
    <row r="46" spans="1:41" ht="15" customHeight="1" thickBot="1">
      <c r="A46" s="368"/>
      <c r="B46" s="285"/>
      <c r="C46" s="345"/>
      <c r="D46" s="345"/>
      <c r="E46" s="144" t="s">
        <v>25</v>
      </c>
      <c r="F46" s="145">
        <v>0</v>
      </c>
      <c r="G46" s="146">
        <v>0</v>
      </c>
      <c r="H46" s="147">
        <v>0</v>
      </c>
      <c r="I46" s="145">
        <v>0</v>
      </c>
      <c r="J46" s="146">
        <v>0</v>
      </c>
      <c r="K46" s="147">
        <v>0</v>
      </c>
      <c r="L46" s="145">
        <v>0</v>
      </c>
      <c r="M46" s="146">
        <v>0</v>
      </c>
      <c r="N46" s="146">
        <v>0</v>
      </c>
      <c r="O46" s="146">
        <v>511</v>
      </c>
      <c r="P46" s="146">
        <v>511</v>
      </c>
      <c r="Q46" s="147">
        <v>511</v>
      </c>
      <c r="R46" s="146">
        <v>0</v>
      </c>
      <c r="S46" s="146">
        <v>0</v>
      </c>
      <c r="T46" s="147">
        <v>0</v>
      </c>
      <c r="U46" s="145">
        <v>0</v>
      </c>
      <c r="V46" s="146">
        <v>0</v>
      </c>
      <c r="W46" s="147">
        <v>0</v>
      </c>
      <c r="X46" s="145">
        <v>0</v>
      </c>
      <c r="Y46" s="146">
        <v>0</v>
      </c>
      <c r="Z46" s="147">
        <v>0</v>
      </c>
      <c r="AA46" s="145">
        <v>0</v>
      </c>
      <c r="AB46" s="146">
        <v>0</v>
      </c>
      <c r="AC46" s="147">
        <v>0</v>
      </c>
      <c r="AD46" s="174"/>
      <c r="AE46" s="175"/>
      <c r="AF46" s="176"/>
      <c r="AG46" s="145"/>
      <c r="AH46" s="146"/>
      <c r="AI46" s="147"/>
      <c r="AJ46" s="145">
        <v>0</v>
      </c>
      <c r="AK46" s="146">
        <v>0</v>
      </c>
      <c r="AL46" s="147">
        <v>0</v>
      </c>
      <c r="AM46" s="145">
        <v>0</v>
      </c>
      <c r="AN46" s="146">
        <v>0</v>
      </c>
      <c r="AO46" s="147">
        <v>0</v>
      </c>
    </row>
    <row r="47" spans="1:41" ht="15" customHeight="1">
      <c r="A47" s="368"/>
      <c r="B47" s="285"/>
      <c r="C47" s="346" t="s">
        <v>81</v>
      </c>
      <c r="D47" s="346"/>
      <c r="E47" s="142" t="s">
        <v>24</v>
      </c>
      <c r="F47" s="128">
        <v>511</v>
      </c>
      <c r="G47" s="43">
        <v>511</v>
      </c>
      <c r="H47" s="58">
        <v>511</v>
      </c>
      <c r="I47" s="45">
        <v>511</v>
      </c>
      <c r="J47" s="379"/>
      <c r="K47" s="44">
        <v>511</v>
      </c>
      <c r="L47" s="45">
        <v>511</v>
      </c>
      <c r="M47" s="43">
        <v>511</v>
      </c>
      <c r="N47" s="58">
        <v>511</v>
      </c>
      <c r="O47" s="45"/>
      <c r="P47" s="43"/>
      <c r="Q47" s="44"/>
      <c r="R47" s="22">
        <v>0</v>
      </c>
      <c r="S47" s="23">
        <v>0</v>
      </c>
      <c r="T47" s="24">
        <v>0</v>
      </c>
      <c r="U47" s="45">
        <v>511</v>
      </c>
      <c r="V47" s="43">
        <v>511</v>
      </c>
      <c r="W47" s="58">
        <v>511</v>
      </c>
      <c r="X47" s="45">
        <v>511</v>
      </c>
      <c r="Y47" s="43">
        <v>511</v>
      </c>
      <c r="Z47" s="58">
        <v>511</v>
      </c>
      <c r="AA47" s="45">
        <v>511</v>
      </c>
      <c r="AB47" s="43">
        <v>511</v>
      </c>
      <c r="AC47" s="58">
        <v>511</v>
      </c>
      <c r="AD47" s="45">
        <v>511</v>
      </c>
      <c r="AE47" s="43">
        <v>511</v>
      </c>
      <c r="AF47" s="58">
        <v>511</v>
      </c>
      <c r="AG47" s="45">
        <v>511</v>
      </c>
      <c r="AH47" s="43">
        <v>511</v>
      </c>
      <c r="AI47" s="58">
        <v>511</v>
      </c>
      <c r="AJ47" s="45">
        <v>511</v>
      </c>
      <c r="AK47" s="43">
        <v>511</v>
      </c>
      <c r="AL47" s="58">
        <v>511</v>
      </c>
      <c r="AM47" s="45">
        <v>511</v>
      </c>
      <c r="AN47" s="43">
        <v>0</v>
      </c>
      <c r="AO47" s="44">
        <v>0</v>
      </c>
    </row>
    <row r="48" spans="1:41" ht="15" customHeight="1" thickBot="1">
      <c r="A48" s="368"/>
      <c r="B48" s="274"/>
      <c r="C48" s="346"/>
      <c r="D48" s="346"/>
      <c r="E48" s="138" t="s">
        <v>25</v>
      </c>
      <c r="F48" s="68">
        <v>511</v>
      </c>
      <c r="G48" s="30">
        <v>511</v>
      </c>
      <c r="H48" s="55">
        <v>511</v>
      </c>
      <c r="I48" s="29">
        <v>511</v>
      </c>
      <c r="J48" s="380">
        <v>0</v>
      </c>
      <c r="K48" s="31">
        <v>511</v>
      </c>
      <c r="L48" s="29">
        <v>511</v>
      </c>
      <c r="M48" s="30">
        <v>511</v>
      </c>
      <c r="N48" s="55">
        <v>511</v>
      </c>
      <c r="O48" s="29">
        <v>0</v>
      </c>
      <c r="P48" s="30">
        <v>0</v>
      </c>
      <c r="Q48" s="31">
        <v>0</v>
      </c>
      <c r="R48" s="29">
        <v>0</v>
      </c>
      <c r="S48" s="30">
        <v>0</v>
      </c>
      <c r="T48" s="31">
        <v>0</v>
      </c>
      <c r="U48" s="29">
        <v>511</v>
      </c>
      <c r="V48" s="29">
        <v>511</v>
      </c>
      <c r="W48" s="29">
        <v>511</v>
      </c>
      <c r="X48" s="29">
        <v>511</v>
      </c>
      <c r="Y48" s="30">
        <v>511</v>
      </c>
      <c r="Z48" s="31">
        <v>511</v>
      </c>
      <c r="AA48" s="29">
        <v>511</v>
      </c>
      <c r="AB48" s="30">
        <v>511</v>
      </c>
      <c r="AC48" s="31">
        <v>511</v>
      </c>
      <c r="AD48" s="157">
        <v>511</v>
      </c>
      <c r="AE48" s="158">
        <v>511</v>
      </c>
      <c r="AF48" s="159">
        <v>511</v>
      </c>
      <c r="AG48" s="68">
        <v>511</v>
      </c>
      <c r="AH48" s="30">
        <v>511</v>
      </c>
      <c r="AI48" s="31">
        <v>511</v>
      </c>
      <c r="AJ48" s="99">
        <v>511</v>
      </c>
      <c r="AK48" s="100">
        <v>511</v>
      </c>
      <c r="AL48" s="121">
        <v>511</v>
      </c>
      <c r="AM48" s="99">
        <v>0</v>
      </c>
      <c r="AN48" s="100">
        <v>0</v>
      </c>
      <c r="AO48" s="101">
        <v>0</v>
      </c>
    </row>
    <row r="49" spans="1:41" ht="12.75" customHeight="1">
      <c r="A49" s="368"/>
      <c r="B49" s="282" t="s">
        <v>85</v>
      </c>
      <c r="C49" s="300" t="s">
        <v>86</v>
      </c>
      <c r="D49" s="301"/>
      <c r="E49" s="139" t="s">
        <v>24</v>
      </c>
      <c r="F49" s="76"/>
      <c r="G49" s="26"/>
      <c r="H49" s="39"/>
      <c r="I49" s="25"/>
      <c r="J49" s="26"/>
      <c r="K49" s="39"/>
      <c r="L49" s="25"/>
      <c r="M49" s="26"/>
      <c r="N49" s="56"/>
      <c r="O49" s="25"/>
      <c r="P49" s="26"/>
      <c r="Q49" s="39"/>
      <c r="R49" s="25"/>
      <c r="S49" s="26"/>
      <c r="T49" s="39"/>
      <c r="U49" s="76"/>
      <c r="V49" s="26"/>
      <c r="W49" s="39"/>
      <c r="X49" s="25"/>
      <c r="Y49" s="26"/>
      <c r="Z49" s="39"/>
      <c r="AA49" s="76"/>
      <c r="AB49" s="26"/>
      <c r="AC49" s="39"/>
      <c r="AD49" s="76"/>
      <c r="AE49" s="26"/>
      <c r="AF49" s="39"/>
      <c r="AG49" s="76"/>
      <c r="AH49" s="26"/>
      <c r="AI49" s="39"/>
      <c r="AJ49" s="25"/>
      <c r="AK49" s="26"/>
      <c r="AL49" s="39"/>
      <c r="AM49" s="25"/>
      <c r="AN49" s="26"/>
      <c r="AO49" s="39"/>
    </row>
    <row r="50" spans="1:41" ht="12.75" customHeight="1">
      <c r="A50" s="368"/>
      <c r="B50" s="283"/>
      <c r="C50" s="302"/>
      <c r="D50" s="285"/>
      <c r="E50" s="137" t="s">
        <v>25</v>
      </c>
      <c r="F50" s="129"/>
      <c r="G50" s="41"/>
      <c r="H50" s="42"/>
      <c r="I50" s="40"/>
      <c r="J50" s="41"/>
      <c r="K50" s="42"/>
      <c r="L50" s="40"/>
      <c r="M50" s="41"/>
      <c r="N50" s="42"/>
      <c r="O50" s="40"/>
      <c r="P50" s="41"/>
      <c r="Q50" s="42"/>
      <c r="R50" s="41"/>
      <c r="S50" s="41"/>
      <c r="T50" s="42"/>
      <c r="U50" s="129"/>
      <c r="V50" s="41"/>
      <c r="W50" s="42"/>
      <c r="X50" s="40"/>
      <c r="Y50" s="41"/>
      <c r="Z50" s="42"/>
      <c r="AA50" s="129"/>
      <c r="AB50" s="41"/>
      <c r="AC50" s="42"/>
      <c r="AD50" s="129"/>
      <c r="AE50" s="41"/>
      <c r="AF50" s="42"/>
      <c r="AG50" s="129"/>
      <c r="AH50" s="41"/>
      <c r="AI50" s="42"/>
      <c r="AJ50" s="40"/>
      <c r="AK50" s="41"/>
      <c r="AL50" s="42"/>
      <c r="AM50" s="40"/>
      <c r="AN50" s="41"/>
      <c r="AO50" s="42"/>
    </row>
    <row r="51" spans="1:41" ht="12.75" customHeight="1" thickBot="1">
      <c r="A51" s="368"/>
      <c r="B51" s="283"/>
      <c r="C51" s="302"/>
      <c r="D51" s="285"/>
      <c r="E51" s="141" t="s">
        <v>87</v>
      </c>
      <c r="F51" s="71"/>
      <c r="G51" s="33"/>
      <c r="H51" s="34"/>
      <c r="I51" s="32"/>
      <c r="J51" s="33"/>
      <c r="K51" s="34"/>
      <c r="L51" s="32"/>
      <c r="M51" s="33"/>
      <c r="N51" s="117"/>
      <c r="O51" s="32"/>
      <c r="P51" s="33"/>
      <c r="Q51" s="34"/>
      <c r="R51" s="32"/>
      <c r="S51" s="33"/>
      <c r="T51" s="34"/>
      <c r="U51" s="71"/>
      <c r="V51" s="33"/>
      <c r="W51" s="34"/>
      <c r="X51" s="32"/>
      <c r="Y51" s="33"/>
      <c r="Z51" s="34"/>
      <c r="AA51" s="71"/>
      <c r="AB51" s="33"/>
      <c r="AC51" s="34"/>
      <c r="AD51" s="71"/>
      <c r="AE51" s="33"/>
      <c r="AF51" s="34"/>
      <c r="AG51" s="71"/>
      <c r="AH51" s="33"/>
      <c r="AI51" s="34"/>
      <c r="AJ51" s="32"/>
      <c r="AK51" s="33"/>
      <c r="AL51" s="34"/>
      <c r="AM51" s="32"/>
      <c r="AN51" s="33"/>
      <c r="AO51" s="34"/>
    </row>
    <row r="52" spans="1:41" ht="12.75" customHeight="1">
      <c r="A52" s="368"/>
      <c r="B52" s="283"/>
      <c r="C52" s="294" t="s">
        <v>88</v>
      </c>
      <c r="D52" s="295"/>
      <c r="E52" s="133" t="s">
        <v>24</v>
      </c>
      <c r="F52" s="69"/>
      <c r="G52" s="23"/>
      <c r="H52" s="24"/>
      <c r="I52" s="22"/>
      <c r="J52" s="23"/>
      <c r="K52" s="24"/>
      <c r="L52" s="22"/>
      <c r="M52" s="23"/>
      <c r="N52" s="54"/>
      <c r="O52" s="22"/>
      <c r="P52" s="23"/>
      <c r="Q52" s="24"/>
      <c r="R52" s="22"/>
      <c r="S52" s="23"/>
      <c r="T52" s="24"/>
      <c r="U52" s="69"/>
      <c r="V52" s="23"/>
      <c r="W52" s="24"/>
      <c r="X52" s="22"/>
      <c r="Y52" s="23"/>
      <c r="Z52" s="24"/>
      <c r="AA52" s="69"/>
      <c r="AB52" s="23"/>
      <c r="AC52" s="24"/>
      <c r="AD52" s="69"/>
      <c r="AE52" s="23"/>
      <c r="AF52" s="24"/>
      <c r="AG52" s="69"/>
      <c r="AH52" s="23"/>
      <c r="AI52" s="24"/>
      <c r="AJ52" s="22"/>
      <c r="AK52" s="23"/>
      <c r="AL52" s="24"/>
      <c r="AM52" s="22"/>
      <c r="AN52" s="23"/>
      <c r="AO52" s="148"/>
    </row>
    <row r="53" spans="1:41" ht="12.75" customHeight="1">
      <c r="A53" s="368"/>
      <c r="B53" s="283"/>
      <c r="C53" s="296"/>
      <c r="D53" s="297"/>
      <c r="E53" s="137" t="s">
        <v>25</v>
      </c>
      <c r="F53" s="129"/>
      <c r="G53" s="41"/>
      <c r="H53" s="42"/>
      <c r="I53" s="40"/>
      <c r="J53" s="41"/>
      <c r="K53" s="42"/>
      <c r="L53" s="40"/>
      <c r="M53" s="41"/>
      <c r="N53" s="42"/>
      <c r="O53" s="40"/>
      <c r="P53" s="41"/>
      <c r="Q53" s="42"/>
      <c r="R53" s="41"/>
      <c r="S53" s="41"/>
      <c r="T53" s="42"/>
      <c r="U53" s="129"/>
      <c r="V53" s="41"/>
      <c r="W53" s="42"/>
      <c r="X53" s="40"/>
      <c r="Y53" s="41"/>
      <c r="Z53" s="42"/>
      <c r="AA53" s="129"/>
      <c r="AB53" s="41"/>
      <c r="AC53" s="42"/>
      <c r="AD53" s="129"/>
      <c r="AE53" s="41"/>
      <c r="AF53" s="42"/>
      <c r="AG53" s="129"/>
      <c r="AH53" s="41"/>
      <c r="AI53" s="42"/>
      <c r="AJ53" s="40"/>
      <c r="AK53" s="41"/>
      <c r="AL53" s="42"/>
      <c r="AM53" s="40"/>
      <c r="AN53" s="41"/>
      <c r="AO53" s="149"/>
    </row>
    <row r="54" spans="1:41" ht="12.75" customHeight="1">
      <c r="A54" s="368"/>
      <c r="B54" s="283"/>
      <c r="C54" s="298"/>
      <c r="D54" s="299"/>
      <c r="E54" s="143" t="s">
        <v>87</v>
      </c>
      <c r="F54" s="132"/>
      <c r="G54" s="37"/>
      <c r="H54" s="38"/>
      <c r="I54" s="36"/>
      <c r="J54" s="37"/>
      <c r="K54" s="38"/>
      <c r="L54" s="36"/>
      <c r="M54" s="37"/>
      <c r="N54" s="119"/>
      <c r="O54" s="36"/>
      <c r="P54" s="37"/>
      <c r="Q54" s="199"/>
      <c r="R54" s="36"/>
      <c r="S54" s="37"/>
      <c r="T54" s="38"/>
      <c r="U54" s="132"/>
      <c r="V54" s="37"/>
      <c r="W54" s="38"/>
      <c r="X54" s="36"/>
      <c r="Y54" s="37"/>
      <c r="Z54" s="38"/>
      <c r="AA54" s="132"/>
      <c r="AB54" s="37"/>
      <c r="AC54" s="38"/>
      <c r="AD54" s="132"/>
      <c r="AE54" s="37"/>
      <c r="AF54" s="38"/>
      <c r="AG54" s="132"/>
      <c r="AH54" s="37"/>
      <c r="AI54" s="38"/>
      <c r="AJ54" s="36"/>
      <c r="AK54" s="37"/>
      <c r="AL54" s="38"/>
      <c r="AM54" s="36"/>
      <c r="AN54" s="37"/>
      <c r="AO54" s="150"/>
    </row>
    <row r="55" spans="1:41" ht="12.75" customHeight="1">
      <c r="A55" s="368"/>
      <c r="B55" s="283"/>
      <c r="C55" s="296" t="s">
        <v>89</v>
      </c>
      <c r="D55" s="297"/>
      <c r="E55" s="142" t="s">
        <v>24</v>
      </c>
      <c r="F55" s="128"/>
      <c r="G55" s="43"/>
      <c r="H55" s="44"/>
      <c r="I55" s="45"/>
      <c r="J55" s="43"/>
      <c r="K55" s="44"/>
      <c r="L55" s="45"/>
      <c r="M55" s="43"/>
      <c r="N55" s="58"/>
      <c r="O55" s="45"/>
      <c r="P55" s="43"/>
      <c r="Q55" s="44"/>
      <c r="R55" s="45"/>
      <c r="S55" s="43"/>
      <c r="T55" s="44"/>
      <c r="U55" s="128"/>
      <c r="V55" s="43"/>
      <c r="W55" s="44"/>
      <c r="X55" s="45"/>
      <c r="Y55" s="43"/>
      <c r="Z55" s="44"/>
      <c r="AA55" s="128"/>
      <c r="AB55" s="43"/>
      <c r="AC55" s="44"/>
      <c r="AD55" s="128"/>
      <c r="AE55" s="43"/>
      <c r="AF55" s="44"/>
      <c r="AG55" s="128"/>
      <c r="AH55" s="43"/>
      <c r="AI55" s="44"/>
      <c r="AJ55" s="45"/>
      <c r="AK55" s="43"/>
      <c r="AL55" s="44"/>
      <c r="AM55" s="45"/>
      <c r="AN55" s="43"/>
      <c r="AO55" s="151"/>
    </row>
    <row r="56" spans="1:41" ht="12.75" customHeight="1">
      <c r="A56" s="368"/>
      <c r="B56" s="283"/>
      <c r="C56" s="296"/>
      <c r="D56" s="297"/>
      <c r="E56" s="137" t="s">
        <v>25</v>
      </c>
      <c r="F56" s="129"/>
      <c r="G56" s="41"/>
      <c r="H56" s="42"/>
      <c r="I56" s="40"/>
      <c r="J56" s="41"/>
      <c r="K56" s="42"/>
      <c r="L56" s="40"/>
      <c r="M56" s="41"/>
      <c r="N56" s="42"/>
      <c r="O56" s="40"/>
      <c r="P56" s="41"/>
      <c r="Q56" s="42"/>
      <c r="R56" s="41"/>
      <c r="S56" s="41"/>
      <c r="T56" s="42"/>
      <c r="U56" s="129"/>
      <c r="V56" s="41"/>
      <c r="W56" s="42"/>
      <c r="X56" s="40"/>
      <c r="Y56" s="41"/>
      <c r="Z56" s="42"/>
      <c r="AA56" s="129"/>
      <c r="AB56" s="41"/>
      <c r="AC56" s="42"/>
      <c r="AD56" s="129"/>
      <c r="AE56" s="41"/>
      <c r="AF56" s="42"/>
      <c r="AG56" s="129"/>
      <c r="AH56" s="41"/>
      <c r="AI56" s="42"/>
      <c r="AJ56" s="40"/>
      <c r="AK56" s="41"/>
      <c r="AL56" s="42"/>
      <c r="AM56" s="40"/>
      <c r="AN56" s="41"/>
      <c r="AO56" s="149"/>
    </row>
    <row r="57" spans="1:41" ht="12.75" customHeight="1" thickBot="1">
      <c r="A57" s="368"/>
      <c r="B57" s="283"/>
      <c r="C57" s="362"/>
      <c r="D57" s="363"/>
      <c r="E57" s="140" t="s">
        <v>87</v>
      </c>
      <c r="F57" s="68"/>
      <c r="G57" s="30"/>
      <c r="H57" s="31"/>
      <c r="I57" s="29"/>
      <c r="J57" s="30"/>
      <c r="K57" s="31"/>
      <c r="L57" s="29"/>
      <c r="M57" s="30"/>
      <c r="N57" s="55"/>
      <c r="O57" s="29"/>
      <c r="P57" s="30"/>
      <c r="Q57" s="31"/>
      <c r="R57" s="29"/>
      <c r="S57" s="30"/>
      <c r="T57" s="31"/>
      <c r="U57" s="68"/>
      <c r="V57" s="30"/>
      <c r="W57" s="31"/>
      <c r="X57" s="29"/>
      <c r="Y57" s="30"/>
      <c r="Z57" s="31"/>
      <c r="AA57" s="68"/>
      <c r="AB57" s="30"/>
      <c r="AC57" s="31"/>
      <c r="AD57" s="68"/>
      <c r="AE57" s="30"/>
      <c r="AF57" s="31"/>
      <c r="AG57" s="68"/>
      <c r="AH57" s="30"/>
      <c r="AI57" s="31"/>
      <c r="AJ57" s="29"/>
      <c r="AK57" s="30"/>
      <c r="AL57" s="31"/>
      <c r="AM57" s="29"/>
      <c r="AN57" s="30"/>
      <c r="AO57" s="152"/>
    </row>
    <row r="58" spans="1:41" ht="12.75" customHeight="1">
      <c r="A58" s="368"/>
      <c r="B58" s="283"/>
      <c r="C58" s="350" t="s">
        <v>92</v>
      </c>
      <c r="D58" s="351"/>
      <c r="E58" s="133" t="s">
        <v>24</v>
      </c>
      <c r="F58" s="69"/>
      <c r="G58" s="23"/>
      <c r="H58" s="24"/>
      <c r="I58" s="22"/>
      <c r="J58" s="23"/>
      <c r="K58" s="24"/>
      <c r="L58" s="22"/>
      <c r="M58" s="23"/>
      <c r="N58" s="54"/>
      <c r="O58" s="22"/>
      <c r="P58" s="23"/>
      <c r="Q58" s="24"/>
      <c r="R58" s="22"/>
      <c r="S58" s="23"/>
      <c r="T58" s="24"/>
      <c r="U58" s="69"/>
      <c r="V58" s="23"/>
      <c r="W58" s="24"/>
      <c r="X58" s="22"/>
      <c r="Y58" s="23"/>
      <c r="Z58" s="24"/>
      <c r="AA58" s="69"/>
      <c r="AB58" s="23"/>
      <c r="AC58" s="24"/>
      <c r="AD58" s="69"/>
      <c r="AE58" s="23"/>
      <c r="AF58" s="24"/>
      <c r="AG58" s="69"/>
      <c r="AH58" s="23"/>
      <c r="AI58" s="24"/>
      <c r="AJ58" s="22"/>
      <c r="AK58" s="23"/>
      <c r="AL58" s="24"/>
      <c r="AM58" s="22"/>
      <c r="AN58" s="23"/>
      <c r="AO58" s="148"/>
    </row>
    <row r="59" spans="1:41" ht="12.75" customHeight="1">
      <c r="A59" s="368"/>
      <c r="B59" s="283"/>
      <c r="C59" s="352"/>
      <c r="D59" s="353"/>
      <c r="E59" s="137" t="s">
        <v>25</v>
      </c>
      <c r="F59" s="129"/>
      <c r="G59" s="41"/>
      <c r="H59" s="42"/>
      <c r="I59" s="40"/>
      <c r="J59" s="41"/>
      <c r="K59" s="42"/>
      <c r="L59" s="40"/>
      <c r="M59" s="41"/>
      <c r="N59" s="42"/>
      <c r="O59" s="40"/>
      <c r="P59" s="41"/>
      <c r="Q59" s="42"/>
      <c r="R59" s="41"/>
      <c r="S59" s="41"/>
      <c r="T59" s="42"/>
      <c r="U59" s="129"/>
      <c r="V59" s="41"/>
      <c r="W59" s="42"/>
      <c r="X59" s="40"/>
      <c r="Y59" s="41"/>
      <c r="Z59" s="42"/>
      <c r="AA59" s="129"/>
      <c r="AB59" s="41"/>
      <c r="AC59" s="42"/>
      <c r="AD59" s="129"/>
      <c r="AE59" s="41"/>
      <c r="AF59" s="42"/>
      <c r="AG59" s="129"/>
      <c r="AH59" s="41"/>
      <c r="AI59" s="42"/>
      <c r="AJ59" s="40"/>
      <c r="AK59" s="41"/>
      <c r="AL59" s="42"/>
      <c r="AM59" s="40"/>
      <c r="AN59" s="41"/>
      <c r="AO59" s="149"/>
    </row>
    <row r="60" spans="1:41" ht="12.75" customHeight="1">
      <c r="A60" s="368"/>
      <c r="B60" s="283"/>
      <c r="C60" s="354"/>
      <c r="D60" s="355"/>
      <c r="E60" s="143" t="s">
        <v>87</v>
      </c>
      <c r="F60" s="132"/>
      <c r="G60" s="37"/>
      <c r="H60" s="38"/>
      <c r="I60" s="36"/>
      <c r="J60" s="37"/>
      <c r="K60" s="38"/>
      <c r="L60" s="36"/>
      <c r="M60" s="37"/>
      <c r="N60" s="119"/>
      <c r="O60" s="36"/>
      <c r="P60" s="37"/>
      <c r="Q60" s="38"/>
      <c r="R60" s="36"/>
      <c r="S60" s="37"/>
      <c r="T60" s="38"/>
      <c r="U60" s="132"/>
      <c r="V60" s="37"/>
      <c r="W60" s="38"/>
      <c r="X60" s="36"/>
      <c r="Y60" s="37"/>
      <c r="Z60" s="38"/>
      <c r="AA60" s="132"/>
      <c r="AB60" s="37"/>
      <c r="AC60" s="38"/>
      <c r="AD60" s="132"/>
      <c r="AE60" s="37"/>
      <c r="AF60" s="38"/>
      <c r="AG60" s="132"/>
      <c r="AH60" s="37"/>
      <c r="AI60" s="38"/>
      <c r="AJ60" s="36"/>
      <c r="AK60" s="37"/>
      <c r="AL60" s="38"/>
      <c r="AM60" s="36"/>
      <c r="AN60" s="37"/>
      <c r="AO60" s="150"/>
    </row>
    <row r="61" spans="1:41" ht="12.75" customHeight="1">
      <c r="A61" s="368"/>
      <c r="B61" s="283"/>
      <c r="C61" s="352" t="s">
        <v>93</v>
      </c>
      <c r="D61" s="353"/>
      <c r="E61" s="142" t="s">
        <v>24</v>
      </c>
      <c r="F61" s="128"/>
      <c r="G61" s="43"/>
      <c r="H61" s="44"/>
      <c r="I61" s="45"/>
      <c r="J61" s="43"/>
      <c r="K61" s="44"/>
      <c r="L61" s="45"/>
      <c r="M61" s="43"/>
      <c r="N61" s="58"/>
      <c r="O61" s="45"/>
      <c r="P61" s="43"/>
      <c r="Q61" s="44"/>
      <c r="R61" s="45"/>
      <c r="S61" s="43"/>
      <c r="T61" s="44"/>
      <c r="U61" s="128"/>
      <c r="V61" s="43"/>
      <c r="W61" s="44"/>
      <c r="X61" s="45"/>
      <c r="Y61" s="43"/>
      <c r="Z61" s="44"/>
      <c r="AA61" s="128"/>
      <c r="AB61" s="43"/>
      <c r="AC61" s="44"/>
      <c r="AD61" s="177"/>
      <c r="AE61" s="178"/>
      <c r="AF61" s="179"/>
      <c r="AG61" s="45"/>
      <c r="AH61" s="43"/>
      <c r="AI61" s="58"/>
      <c r="AJ61" s="45"/>
      <c r="AK61" s="43"/>
      <c r="AL61" s="44"/>
      <c r="AM61" s="45"/>
      <c r="AN61" s="43"/>
      <c r="AO61" s="151"/>
    </row>
    <row r="62" spans="1:41" ht="12.75" customHeight="1">
      <c r="A62" s="368"/>
      <c r="B62" s="283"/>
      <c r="C62" s="352"/>
      <c r="D62" s="353"/>
      <c r="E62" s="137" t="s">
        <v>25</v>
      </c>
      <c r="F62" s="129"/>
      <c r="G62" s="41"/>
      <c r="H62" s="42"/>
      <c r="I62" s="40"/>
      <c r="J62" s="41"/>
      <c r="K62" s="42"/>
      <c r="L62" s="40"/>
      <c r="M62" s="41"/>
      <c r="N62" s="42"/>
      <c r="O62" s="40"/>
      <c r="P62" s="41"/>
      <c r="Q62" s="42"/>
      <c r="R62" s="41"/>
      <c r="S62" s="41"/>
      <c r="T62" s="42"/>
      <c r="U62" s="129"/>
      <c r="V62" s="41"/>
      <c r="W62" s="42"/>
      <c r="X62" s="40"/>
      <c r="Y62" s="41"/>
      <c r="Z62" s="42"/>
      <c r="AA62" s="129"/>
      <c r="AB62" s="41"/>
      <c r="AC62" s="42"/>
      <c r="AD62" s="167"/>
      <c r="AE62" s="168"/>
      <c r="AF62" s="169"/>
      <c r="AG62" s="40"/>
      <c r="AH62" s="41"/>
      <c r="AI62" s="42"/>
      <c r="AJ62" s="40"/>
      <c r="AK62" s="41"/>
      <c r="AL62" s="42"/>
      <c r="AM62" s="40"/>
      <c r="AN62" s="41"/>
      <c r="AO62" s="149"/>
    </row>
    <row r="63" spans="1:41" ht="12.75" customHeight="1" thickBot="1">
      <c r="A63" s="369"/>
      <c r="B63" s="289"/>
      <c r="C63" s="356"/>
      <c r="D63" s="357"/>
      <c r="E63" s="140" t="s">
        <v>87</v>
      </c>
      <c r="F63" s="68"/>
      <c r="G63" s="30"/>
      <c r="H63" s="31"/>
      <c r="I63" s="29"/>
      <c r="J63" s="30"/>
      <c r="K63" s="31"/>
      <c r="L63" s="29"/>
      <c r="M63" s="30"/>
      <c r="N63" s="55"/>
      <c r="O63" s="29"/>
      <c r="P63" s="30"/>
      <c r="Q63" s="31"/>
      <c r="R63" s="29"/>
      <c r="S63" s="30"/>
      <c r="T63" s="31"/>
      <c r="U63" s="68"/>
      <c r="V63" s="30"/>
      <c r="W63" s="31"/>
      <c r="X63" s="29"/>
      <c r="Y63" s="30"/>
      <c r="Z63" s="31"/>
      <c r="AA63" s="68"/>
      <c r="AB63" s="30"/>
      <c r="AC63" s="31"/>
      <c r="AD63" s="157"/>
      <c r="AE63" s="158"/>
      <c r="AF63" s="159"/>
      <c r="AG63" s="29"/>
      <c r="AH63" s="30"/>
      <c r="AI63" s="55"/>
      <c r="AJ63" s="29"/>
      <c r="AK63" s="30"/>
      <c r="AL63" s="31"/>
      <c r="AM63" s="29"/>
      <c r="AN63" s="30"/>
      <c r="AO63" s="152"/>
    </row>
    <row r="64" spans="1:41" ht="9" customHeight="1" thickBot="1">
      <c r="A64" s="2"/>
      <c r="F64" s="35"/>
      <c r="G64" s="35"/>
      <c r="H64" s="35"/>
      <c r="I64" s="35"/>
      <c r="J64" s="35"/>
      <c r="K64" s="35"/>
      <c r="L64" s="35"/>
      <c r="M64" s="35"/>
      <c r="N64" s="35"/>
      <c r="O64" s="103"/>
      <c r="P64" s="103"/>
      <c r="Q64" s="103"/>
      <c r="R64" s="103"/>
      <c r="S64" s="103"/>
      <c r="T64" s="103"/>
      <c r="U64" s="35"/>
      <c r="V64" s="35"/>
      <c r="W64" s="35"/>
      <c r="X64" s="35"/>
      <c r="Y64" s="35"/>
      <c r="Z64" s="35"/>
      <c r="AA64" s="35"/>
      <c r="AB64" s="35"/>
      <c r="AC64" s="35"/>
      <c r="AD64" s="170"/>
      <c r="AE64" s="170"/>
      <c r="AF64" s="170"/>
      <c r="AG64" s="35"/>
      <c r="AH64" s="35"/>
      <c r="AI64" s="35"/>
      <c r="AJ64" s="103"/>
      <c r="AK64" s="103"/>
      <c r="AL64" s="103"/>
      <c r="AM64" s="103"/>
      <c r="AN64" s="103"/>
      <c r="AO64" s="103"/>
    </row>
    <row r="65" spans="1:41" ht="15" customHeight="1">
      <c r="A65" s="259" t="s">
        <v>49</v>
      </c>
      <c r="B65" s="282" t="s">
        <v>34</v>
      </c>
      <c r="C65" s="63" t="s">
        <v>35</v>
      </c>
      <c r="D65" s="5" t="s">
        <v>3</v>
      </c>
      <c r="E65" s="276" t="s">
        <v>25</v>
      </c>
      <c r="F65" s="381">
        <v>0</v>
      </c>
      <c r="G65" s="382">
        <v>0</v>
      </c>
      <c r="H65" s="383">
        <v>0</v>
      </c>
      <c r="I65" s="381">
        <v>0</v>
      </c>
      <c r="J65" s="382">
        <v>0</v>
      </c>
      <c r="K65" s="383">
        <v>0</v>
      </c>
      <c r="L65" s="381">
        <v>0</v>
      </c>
      <c r="M65" s="382">
        <v>0</v>
      </c>
      <c r="N65" s="384">
        <v>0</v>
      </c>
      <c r="O65" s="22">
        <v>0</v>
      </c>
      <c r="P65" s="23">
        <v>0</v>
      </c>
      <c r="Q65" s="24">
        <v>0</v>
      </c>
      <c r="R65" s="22">
        <v>0</v>
      </c>
      <c r="S65" s="23">
        <v>0</v>
      </c>
      <c r="T65" s="24">
        <v>0</v>
      </c>
      <c r="U65" s="205">
        <v>480</v>
      </c>
      <c r="V65" s="206">
        <v>480</v>
      </c>
      <c r="W65" s="207">
        <v>0</v>
      </c>
      <c r="X65" s="205">
        <v>480</v>
      </c>
      <c r="Y65" s="206">
        <v>480</v>
      </c>
      <c r="Z65" s="207">
        <v>0</v>
      </c>
      <c r="AA65" s="205">
        <v>480</v>
      </c>
      <c r="AB65" s="206">
        <v>480</v>
      </c>
      <c r="AC65" s="207">
        <v>0</v>
      </c>
      <c r="AD65" s="208">
        <v>480</v>
      </c>
      <c r="AE65" s="209">
        <v>480</v>
      </c>
      <c r="AF65" s="210">
        <v>0</v>
      </c>
      <c r="AG65" s="205">
        <v>480</v>
      </c>
      <c r="AH65" s="206">
        <v>480</v>
      </c>
      <c r="AI65" s="207">
        <v>0</v>
      </c>
      <c r="AJ65" s="22">
        <v>0</v>
      </c>
      <c r="AK65" s="23">
        <v>0</v>
      </c>
      <c r="AL65" s="24">
        <v>0</v>
      </c>
      <c r="AM65" s="22">
        <v>0</v>
      </c>
      <c r="AN65" s="23">
        <v>0</v>
      </c>
      <c r="AO65" s="24">
        <v>0</v>
      </c>
    </row>
    <row r="66" spans="1:41" ht="15" customHeight="1" thickBot="1">
      <c r="A66" s="260"/>
      <c r="B66" s="283"/>
      <c r="C66" s="62" t="s">
        <v>39</v>
      </c>
      <c r="D66" s="8" t="s">
        <v>36</v>
      </c>
      <c r="E66" s="277"/>
      <c r="F66" s="385">
        <v>0</v>
      </c>
      <c r="G66" s="386">
        <v>0</v>
      </c>
      <c r="H66" s="387">
        <v>0</v>
      </c>
      <c r="I66" s="385">
        <v>0</v>
      </c>
      <c r="J66" s="386">
        <v>0</v>
      </c>
      <c r="K66" s="387">
        <v>0</v>
      </c>
      <c r="L66" s="385">
        <v>0</v>
      </c>
      <c r="M66" s="386">
        <v>0</v>
      </c>
      <c r="N66" s="388">
        <v>0</v>
      </c>
      <c r="O66" s="32">
        <v>0</v>
      </c>
      <c r="P66" s="33">
        <v>0</v>
      </c>
      <c r="Q66" s="33">
        <v>0</v>
      </c>
      <c r="R66" s="32">
        <v>0</v>
      </c>
      <c r="S66" s="33">
        <v>0</v>
      </c>
      <c r="T66" s="34">
        <v>0</v>
      </c>
      <c r="U66" s="237">
        <v>480</v>
      </c>
      <c r="V66" s="238">
        <v>480</v>
      </c>
      <c r="W66" s="239">
        <v>0</v>
      </c>
      <c r="X66" s="237">
        <v>480</v>
      </c>
      <c r="Y66" s="238">
        <v>480</v>
      </c>
      <c r="Z66" s="239">
        <v>0</v>
      </c>
      <c r="AA66" s="237">
        <v>480</v>
      </c>
      <c r="AB66" s="238">
        <v>480</v>
      </c>
      <c r="AC66" s="239">
        <v>0</v>
      </c>
      <c r="AD66" s="240">
        <v>480</v>
      </c>
      <c r="AE66" s="241">
        <v>480</v>
      </c>
      <c r="AF66" s="242">
        <v>0</v>
      </c>
      <c r="AG66" s="237">
        <v>480</v>
      </c>
      <c r="AH66" s="238">
        <v>480</v>
      </c>
      <c r="AI66" s="239">
        <v>0</v>
      </c>
      <c r="AJ66" s="32">
        <v>0</v>
      </c>
      <c r="AK66" s="33">
        <v>0</v>
      </c>
      <c r="AL66" s="34">
        <v>0</v>
      </c>
      <c r="AM66" s="32">
        <v>0</v>
      </c>
      <c r="AN66" s="33">
        <v>0</v>
      </c>
      <c r="AO66" s="34">
        <v>0</v>
      </c>
    </row>
    <row r="67" spans="1:41" ht="15" customHeight="1">
      <c r="A67" s="260"/>
      <c r="B67" s="282" t="s">
        <v>37</v>
      </c>
      <c r="C67" s="301" t="s">
        <v>38</v>
      </c>
      <c r="D67" s="5" t="s">
        <v>3</v>
      </c>
      <c r="E67" s="276" t="s">
        <v>25</v>
      </c>
      <c r="F67" s="22">
        <v>448</v>
      </c>
      <c r="G67" s="23">
        <v>448</v>
      </c>
      <c r="H67" s="24">
        <v>448</v>
      </c>
      <c r="I67" s="22">
        <v>448</v>
      </c>
      <c r="J67" s="23">
        <v>448</v>
      </c>
      <c r="K67" s="24">
        <v>448</v>
      </c>
      <c r="L67" s="22">
        <v>448</v>
      </c>
      <c r="M67" s="23">
        <v>448</v>
      </c>
      <c r="N67" s="23">
        <v>448</v>
      </c>
      <c r="O67" s="22">
        <v>0</v>
      </c>
      <c r="P67" s="23">
        <v>0</v>
      </c>
      <c r="Q67" s="24">
        <v>0</v>
      </c>
      <c r="R67" s="22">
        <v>0</v>
      </c>
      <c r="S67" s="23">
        <v>0</v>
      </c>
      <c r="T67" s="24">
        <v>0</v>
      </c>
      <c r="U67" s="22">
        <v>448</v>
      </c>
      <c r="V67" s="23">
        <v>448</v>
      </c>
      <c r="W67" s="24">
        <v>448</v>
      </c>
      <c r="X67" s="22">
        <v>448</v>
      </c>
      <c r="Y67" s="23">
        <v>448</v>
      </c>
      <c r="Z67" s="24">
        <v>448</v>
      </c>
      <c r="AA67" s="22">
        <v>448</v>
      </c>
      <c r="AB67" s="23">
        <v>448</v>
      </c>
      <c r="AC67" s="24">
        <v>448</v>
      </c>
      <c r="AD67" s="155">
        <v>448</v>
      </c>
      <c r="AE67" s="156">
        <v>448</v>
      </c>
      <c r="AF67" s="160">
        <v>448</v>
      </c>
      <c r="AG67" s="22">
        <v>448</v>
      </c>
      <c r="AH67" s="23">
        <v>448</v>
      </c>
      <c r="AI67" s="24">
        <v>448</v>
      </c>
      <c r="AJ67" s="22">
        <v>0</v>
      </c>
      <c r="AK67" s="23">
        <v>0</v>
      </c>
      <c r="AL67" s="24">
        <v>0</v>
      </c>
      <c r="AM67" s="22">
        <v>0</v>
      </c>
      <c r="AN67" s="23">
        <v>0</v>
      </c>
      <c r="AO67" s="24">
        <v>0</v>
      </c>
    </row>
    <row r="68" spans="1:41" ht="15" customHeight="1">
      <c r="A68" s="260"/>
      <c r="B68" s="283"/>
      <c r="C68" s="304"/>
      <c r="D68" s="9" t="s">
        <v>36</v>
      </c>
      <c r="E68" s="290"/>
      <c r="F68" s="36">
        <v>0</v>
      </c>
      <c r="G68" s="37">
        <v>0</v>
      </c>
      <c r="H68" s="38">
        <v>0</v>
      </c>
      <c r="I68" s="36">
        <v>0</v>
      </c>
      <c r="J68" s="37">
        <v>0</v>
      </c>
      <c r="K68" s="38">
        <v>0</v>
      </c>
      <c r="L68" s="36">
        <v>0</v>
      </c>
      <c r="M68" s="37">
        <v>0</v>
      </c>
      <c r="N68" s="38">
        <v>0</v>
      </c>
      <c r="O68" s="36">
        <v>0</v>
      </c>
      <c r="P68" s="37">
        <v>0</v>
      </c>
      <c r="Q68" s="38">
        <v>0</v>
      </c>
      <c r="R68" s="36">
        <v>0</v>
      </c>
      <c r="S68" s="37">
        <v>0</v>
      </c>
      <c r="T68" s="38">
        <v>0</v>
      </c>
      <c r="U68" s="36">
        <v>0</v>
      </c>
      <c r="V68" s="37">
        <v>0</v>
      </c>
      <c r="W68" s="38">
        <v>0</v>
      </c>
      <c r="X68" s="36">
        <v>0</v>
      </c>
      <c r="Y68" s="37">
        <v>0</v>
      </c>
      <c r="Z68" s="38">
        <v>0</v>
      </c>
      <c r="AA68" s="36">
        <v>0</v>
      </c>
      <c r="AB68" s="37">
        <v>0</v>
      </c>
      <c r="AC68" s="38">
        <v>0</v>
      </c>
      <c r="AD68" s="171">
        <v>0</v>
      </c>
      <c r="AE68" s="172">
        <v>0</v>
      </c>
      <c r="AF68" s="173">
        <v>0</v>
      </c>
      <c r="AG68" s="36">
        <v>0</v>
      </c>
      <c r="AH68" s="37">
        <v>0</v>
      </c>
      <c r="AI68" s="38">
        <v>0</v>
      </c>
      <c r="AJ68" s="36">
        <v>0</v>
      </c>
      <c r="AK68" s="37">
        <v>0</v>
      </c>
      <c r="AL68" s="38">
        <v>0</v>
      </c>
      <c r="AM68" s="36">
        <v>0</v>
      </c>
      <c r="AN68" s="37">
        <v>0</v>
      </c>
      <c r="AO68" s="38">
        <v>0</v>
      </c>
    </row>
    <row r="69" spans="1:41" ht="15" customHeight="1">
      <c r="A69" s="260"/>
      <c r="B69" s="283"/>
      <c r="C69" s="306" t="s">
        <v>40</v>
      </c>
      <c r="D69" s="6" t="s">
        <v>3</v>
      </c>
      <c r="E69" s="291" t="s">
        <v>25</v>
      </c>
      <c r="F69" s="25">
        <v>448</v>
      </c>
      <c r="G69" s="26">
        <v>448</v>
      </c>
      <c r="H69" s="39">
        <v>448</v>
      </c>
      <c r="I69" s="25">
        <v>448</v>
      </c>
      <c r="J69" s="26">
        <v>448</v>
      </c>
      <c r="K69" s="39">
        <v>448</v>
      </c>
      <c r="L69" s="25">
        <v>448</v>
      </c>
      <c r="M69" s="26">
        <v>448</v>
      </c>
      <c r="N69" s="39">
        <v>448</v>
      </c>
      <c r="O69" s="25">
        <v>0</v>
      </c>
      <c r="P69" s="26">
        <v>0</v>
      </c>
      <c r="Q69" s="39">
        <v>0</v>
      </c>
      <c r="R69" s="25">
        <v>0</v>
      </c>
      <c r="S69" s="26">
        <v>0</v>
      </c>
      <c r="T69" s="39">
        <v>0</v>
      </c>
      <c r="U69" s="25">
        <v>448</v>
      </c>
      <c r="V69" s="26">
        <v>448</v>
      </c>
      <c r="W69" s="39">
        <v>448</v>
      </c>
      <c r="X69" s="25">
        <v>448</v>
      </c>
      <c r="Y69" s="26">
        <v>448</v>
      </c>
      <c r="Z69" s="39">
        <v>448</v>
      </c>
      <c r="AA69" s="25">
        <v>448</v>
      </c>
      <c r="AB69" s="26">
        <v>448</v>
      </c>
      <c r="AC69" s="39">
        <v>448</v>
      </c>
      <c r="AD69" s="164">
        <v>448</v>
      </c>
      <c r="AE69" s="165">
        <v>448</v>
      </c>
      <c r="AF69" s="166">
        <v>448</v>
      </c>
      <c r="AG69" s="25">
        <v>448</v>
      </c>
      <c r="AH69" s="26">
        <v>448</v>
      </c>
      <c r="AI69" s="39">
        <v>448</v>
      </c>
      <c r="AJ69" s="25">
        <v>0</v>
      </c>
      <c r="AK69" s="26">
        <v>0</v>
      </c>
      <c r="AL69" s="39">
        <v>0</v>
      </c>
      <c r="AM69" s="25">
        <v>0</v>
      </c>
      <c r="AN69" s="26">
        <v>0</v>
      </c>
      <c r="AO69" s="39">
        <v>0</v>
      </c>
    </row>
    <row r="70" spans="1:41" ht="15" customHeight="1" thickBot="1">
      <c r="A70" s="260"/>
      <c r="B70" s="289"/>
      <c r="C70" s="303"/>
      <c r="D70" s="10" t="s">
        <v>36</v>
      </c>
      <c r="E70" s="264"/>
      <c r="F70" s="29">
        <v>0</v>
      </c>
      <c r="G70" s="30">
        <v>0</v>
      </c>
      <c r="H70" s="31">
        <v>0</v>
      </c>
      <c r="I70" s="29">
        <v>0</v>
      </c>
      <c r="J70" s="30">
        <v>0</v>
      </c>
      <c r="K70" s="31">
        <v>0</v>
      </c>
      <c r="L70" s="29">
        <v>0</v>
      </c>
      <c r="M70" s="30">
        <v>0</v>
      </c>
      <c r="N70" s="31">
        <v>0</v>
      </c>
      <c r="O70" s="29">
        <v>0</v>
      </c>
      <c r="P70" s="30">
        <v>0</v>
      </c>
      <c r="Q70" s="31">
        <v>0</v>
      </c>
      <c r="R70" s="29">
        <v>0</v>
      </c>
      <c r="S70" s="30">
        <v>0</v>
      </c>
      <c r="T70" s="31">
        <v>0</v>
      </c>
      <c r="U70" s="29">
        <v>0</v>
      </c>
      <c r="V70" s="30">
        <v>0</v>
      </c>
      <c r="W70" s="31">
        <v>0</v>
      </c>
      <c r="X70" s="29">
        <v>0</v>
      </c>
      <c r="Y70" s="30">
        <v>0</v>
      </c>
      <c r="Z70" s="31">
        <v>0</v>
      </c>
      <c r="AA70" s="29">
        <v>0</v>
      </c>
      <c r="AB70" s="30">
        <v>0</v>
      </c>
      <c r="AC70" s="31">
        <v>0</v>
      </c>
      <c r="AD70" s="157">
        <v>0</v>
      </c>
      <c r="AE70" s="158">
        <v>0</v>
      </c>
      <c r="AF70" s="159">
        <v>0</v>
      </c>
      <c r="AG70" s="29">
        <v>0</v>
      </c>
      <c r="AH70" s="30">
        <v>0</v>
      </c>
      <c r="AI70" s="31">
        <v>0</v>
      </c>
      <c r="AJ70" s="29">
        <v>0</v>
      </c>
      <c r="AK70" s="30">
        <v>0</v>
      </c>
      <c r="AL70" s="31">
        <v>0</v>
      </c>
      <c r="AM70" s="29">
        <v>0</v>
      </c>
      <c r="AN70" s="30">
        <v>0</v>
      </c>
      <c r="AO70" s="31">
        <v>0</v>
      </c>
    </row>
    <row r="71" spans="1:41" ht="15" customHeight="1">
      <c r="A71" s="260"/>
      <c r="B71" s="282" t="s">
        <v>53</v>
      </c>
      <c r="C71" s="271" t="s">
        <v>74</v>
      </c>
      <c r="D71" s="272"/>
      <c r="E71" s="287" t="s">
        <v>24</v>
      </c>
      <c r="F71" s="45">
        <v>448</v>
      </c>
      <c r="G71" s="43">
        <v>448</v>
      </c>
      <c r="H71" s="44">
        <v>448</v>
      </c>
      <c r="I71" s="45">
        <v>448</v>
      </c>
      <c r="J71" s="43">
        <v>448</v>
      </c>
      <c r="K71" s="44">
        <v>448</v>
      </c>
      <c r="L71" s="45">
        <v>448</v>
      </c>
      <c r="M71" s="43">
        <v>448</v>
      </c>
      <c r="N71" s="58">
        <v>448</v>
      </c>
      <c r="O71" s="45">
        <v>448</v>
      </c>
      <c r="P71" s="43">
        <v>448</v>
      </c>
      <c r="Q71" s="44">
        <v>448</v>
      </c>
      <c r="R71" s="45">
        <v>0</v>
      </c>
      <c r="S71" s="43">
        <v>0</v>
      </c>
      <c r="T71" s="44">
        <v>0</v>
      </c>
      <c r="U71" s="45">
        <v>448</v>
      </c>
      <c r="V71" s="43">
        <v>448</v>
      </c>
      <c r="W71" s="44">
        <v>448</v>
      </c>
      <c r="X71" s="45">
        <v>448</v>
      </c>
      <c r="Y71" s="43">
        <v>448</v>
      </c>
      <c r="Z71" s="44">
        <v>448</v>
      </c>
      <c r="AA71" s="45">
        <v>448</v>
      </c>
      <c r="AB71" s="43">
        <v>448</v>
      </c>
      <c r="AC71" s="44">
        <v>448</v>
      </c>
      <c r="AD71" s="177">
        <v>448</v>
      </c>
      <c r="AE71" s="178">
        <v>448</v>
      </c>
      <c r="AF71" s="179">
        <v>448</v>
      </c>
      <c r="AG71" s="45">
        <v>448</v>
      </c>
      <c r="AH71" s="43">
        <v>448</v>
      </c>
      <c r="AI71" s="44">
        <v>448</v>
      </c>
      <c r="AJ71" s="45">
        <v>0</v>
      </c>
      <c r="AK71" s="43">
        <v>0</v>
      </c>
      <c r="AL71" s="44">
        <v>0</v>
      </c>
      <c r="AM71" s="45">
        <v>0</v>
      </c>
      <c r="AN71" s="43">
        <v>0</v>
      </c>
      <c r="AO71" s="44">
        <v>0</v>
      </c>
    </row>
    <row r="72" spans="1:41" ht="15" customHeight="1">
      <c r="A72" s="260"/>
      <c r="B72" s="283"/>
      <c r="C72" s="273" t="s">
        <v>75</v>
      </c>
      <c r="D72" s="274"/>
      <c r="E72" s="288"/>
      <c r="F72" s="32">
        <v>896</v>
      </c>
      <c r="G72" s="33">
        <v>896</v>
      </c>
      <c r="H72" s="34">
        <v>896</v>
      </c>
      <c r="I72" s="32">
        <v>896</v>
      </c>
      <c r="J72" s="33">
        <v>896</v>
      </c>
      <c r="K72" s="34">
        <v>896</v>
      </c>
      <c r="L72" s="32">
        <v>896</v>
      </c>
      <c r="M72" s="33">
        <v>896</v>
      </c>
      <c r="N72" s="117">
        <v>896</v>
      </c>
      <c r="O72" s="32">
        <v>896</v>
      </c>
      <c r="P72" s="33">
        <v>896</v>
      </c>
      <c r="Q72" s="34">
        <v>896</v>
      </c>
      <c r="R72" s="32">
        <v>0</v>
      </c>
      <c r="S72" s="33">
        <v>0</v>
      </c>
      <c r="T72" s="34">
        <v>0</v>
      </c>
      <c r="U72" s="32">
        <v>896</v>
      </c>
      <c r="V72" s="33">
        <v>896</v>
      </c>
      <c r="W72" s="34">
        <v>896</v>
      </c>
      <c r="X72" s="32">
        <v>896</v>
      </c>
      <c r="Y72" s="33">
        <v>896</v>
      </c>
      <c r="Z72" s="34">
        <v>896</v>
      </c>
      <c r="AA72" s="32">
        <v>896</v>
      </c>
      <c r="AB72" s="33">
        <v>896</v>
      </c>
      <c r="AC72" s="34">
        <v>896</v>
      </c>
      <c r="AD72" s="161">
        <v>896</v>
      </c>
      <c r="AE72" s="162">
        <v>896</v>
      </c>
      <c r="AF72" s="163">
        <v>896</v>
      </c>
      <c r="AG72" s="32">
        <v>896</v>
      </c>
      <c r="AH72" s="33">
        <v>896</v>
      </c>
      <c r="AI72" s="34">
        <v>896</v>
      </c>
      <c r="AJ72" s="32">
        <v>0</v>
      </c>
      <c r="AK72" s="33">
        <v>0</v>
      </c>
      <c r="AL72" s="34">
        <v>0</v>
      </c>
      <c r="AM72" s="32">
        <v>0</v>
      </c>
      <c r="AN72" s="33">
        <v>0</v>
      </c>
      <c r="AO72" s="34">
        <v>0</v>
      </c>
    </row>
    <row r="73" spans="1:41" ht="15" customHeight="1">
      <c r="A73" s="260"/>
      <c r="B73" s="283"/>
      <c r="C73" s="267" t="s">
        <v>74</v>
      </c>
      <c r="D73" s="268"/>
      <c r="E73" s="292" t="s">
        <v>73</v>
      </c>
      <c r="F73" s="25">
        <v>0</v>
      </c>
      <c r="G73" s="26">
        <v>690.80267558528431</v>
      </c>
      <c r="H73" s="39">
        <v>0</v>
      </c>
      <c r="I73" s="25">
        <v>0</v>
      </c>
      <c r="J73" s="26">
        <v>690.80267558528431</v>
      </c>
      <c r="K73" s="39">
        <v>0</v>
      </c>
      <c r="L73" s="25">
        <v>0</v>
      </c>
      <c r="M73" s="26">
        <v>690.80267558528431</v>
      </c>
      <c r="N73" s="56">
        <v>690.80267558528431</v>
      </c>
      <c r="O73" s="25">
        <v>0</v>
      </c>
      <c r="P73" s="26">
        <v>690.80267558528431</v>
      </c>
      <c r="Q73" s="39">
        <v>0</v>
      </c>
      <c r="R73" s="25">
        <v>0</v>
      </c>
      <c r="S73" s="26">
        <v>0</v>
      </c>
      <c r="T73" s="39">
        <v>0</v>
      </c>
      <c r="U73" s="25">
        <v>0</v>
      </c>
      <c r="V73" s="26">
        <v>690.80267558528431</v>
      </c>
      <c r="W73" s="39">
        <v>690.80267558528431</v>
      </c>
      <c r="X73" s="25">
        <v>0</v>
      </c>
      <c r="Y73" s="26">
        <v>690.80267558528431</v>
      </c>
      <c r="Z73" s="39">
        <v>0</v>
      </c>
      <c r="AA73" s="25">
        <v>0</v>
      </c>
      <c r="AB73" s="26">
        <v>690.80267558528431</v>
      </c>
      <c r="AC73" s="39">
        <v>690.80267558528431</v>
      </c>
      <c r="AD73" s="164">
        <v>0</v>
      </c>
      <c r="AE73" s="165">
        <v>690.80267558528431</v>
      </c>
      <c r="AF73" s="166">
        <v>690.80267558528431</v>
      </c>
      <c r="AG73" s="25">
        <v>0</v>
      </c>
      <c r="AH73" s="26">
        <v>690.80267558528431</v>
      </c>
      <c r="AI73" s="39">
        <v>690.80267558528431</v>
      </c>
      <c r="AJ73" s="25">
        <v>0</v>
      </c>
      <c r="AK73" s="26">
        <v>0</v>
      </c>
      <c r="AL73" s="39">
        <v>0</v>
      </c>
      <c r="AM73" s="25">
        <v>0</v>
      </c>
      <c r="AN73" s="26">
        <v>0</v>
      </c>
      <c r="AO73" s="39">
        <v>0</v>
      </c>
    </row>
    <row r="74" spans="1:41" ht="15" customHeight="1">
      <c r="A74" s="260"/>
      <c r="B74" s="283"/>
      <c r="C74" s="265" t="s">
        <v>75</v>
      </c>
      <c r="D74" s="266"/>
      <c r="E74" s="293"/>
      <c r="F74" s="36">
        <v>0</v>
      </c>
      <c r="G74" s="37">
        <v>1381.6053511705686</v>
      </c>
      <c r="H74" s="38">
        <v>0</v>
      </c>
      <c r="I74" s="36">
        <v>0</v>
      </c>
      <c r="J74" s="37">
        <v>1381.6053511705686</v>
      </c>
      <c r="K74" s="38">
        <v>0</v>
      </c>
      <c r="L74" s="36">
        <v>0</v>
      </c>
      <c r="M74" s="37">
        <v>1381.6053511705686</v>
      </c>
      <c r="N74" s="119">
        <v>1381.6053511705686</v>
      </c>
      <c r="O74" s="36">
        <v>0</v>
      </c>
      <c r="P74" s="37">
        <v>1381.6053511705686</v>
      </c>
      <c r="Q74" s="38">
        <v>0</v>
      </c>
      <c r="R74" s="36">
        <v>0</v>
      </c>
      <c r="S74" s="37">
        <v>0</v>
      </c>
      <c r="T74" s="38">
        <v>0</v>
      </c>
      <c r="U74" s="36">
        <v>0</v>
      </c>
      <c r="V74" s="37">
        <v>1381.6053511705686</v>
      </c>
      <c r="W74" s="38">
        <v>1381.6053511705686</v>
      </c>
      <c r="X74" s="36">
        <v>0</v>
      </c>
      <c r="Y74" s="37">
        <v>1381.6053511705686</v>
      </c>
      <c r="Z74" s="38">
        <v>0</v>
      </c>
      <c r="AA74" s="36">
        <v>0</v>
      </c>
      <c r="AB74" s="37">
        <v>1381.6053511705686</v>
      </c>
      <c r="AC74" s="38">
        <v>1381.6053511705686</v>
      </c>
      <c r="AD74" s="171">
        <v>0</v>
      </c>
      <c r="AE74" s="172">
        <v>1381.6053511705686</v>
      </c>
      <c r="AF74" s="173">
        <v>1381.6053511705686</v>
      </c>
      <c r="AG74" s="36">
        <v>0</v>
      </c>
      <c r="AH74" s="37">
        <v>1381.6053511705686</v>
      </c>
      <c r="AI74" s="38">
        <v>1381.6053511705686</v>
      </c>
      <c r="AJ74" s="36">
        <v>0</v>
      </c>
      <c r="AK74" s="37">
        <v>0</v>
      </c>
      <c r="AL74" s="38">
        <v>0</v>
      </c>
      <c r="AM74" s="36">
        <v>0</v>
      </c>
      <c r="AN74" s="37">
        <v>0</v>
      </c>
      <c r="AO74" s="38">
        <v>0</v>
      </c>
    </row>
    <row r="75" spans="1:41" ht="15" customHeight="1">
      <c r="A75" s="260"/>
      <c r="B75" s="283"/>
      <c r="C75" s="246" t="s">
        <v>41</v>
      </c>
      <c r="D75" s="247"/>
      <c r="E75" s="262" t="s">
        <v>25</v>
      </c>
      <c r="F75" s="45">
        <v>0</v>
      </c>
      <c r="G75" s="43">
        <v>604</v>
      </c>
      <c r="H75" s="44">
        <v>0</v>
      </c>
      <c r="I75" s="45">
        <v>0</v>
      </c>
      <c r="J75" s="43">
        <v>0</v>
      </c>
      <c r="K75" s="44">
        <v>0</v>
      </c>
      <c r="L75" s="45">
        <v>0</v>
      </c>
      <c r="M75" s="43">
        <v>0</v>
      </c>
      <c r="N75" s="58">
        <v>0</v>
      </c>
      <c r="O75" s="45">
        <v>0</v>
      </c>
      <c r="P75" s="43">
        <v>0</v>
      </c>
      <c r="Q75" s="44">
        <v>0</v>
      </c>
      <c r="R75" s="45">
        <v>0</v>
      </c>
      <c r="S75" s="43">
        <v>0</v>
      </c>
      <c r="T75" s="44">
        <v>0</v>
      </c>
      <c r="U75" s="45">
        <v>0</v>
      </c>
      <c r="V75" s="43">
        <v>604</v>
      </c>
      <c r="W75" s="44">
        <v>0</v>
      </c>
      <c r="X75" s="45">
        <v>0</v>
      </c>
      <c r="Y75" s="43">
        <v>604</v>
      </c>
      <c r="Z75" s="44">
        <v>0</v>
      </c>
      <c r="AA75" s="45">
        <v>0</v>
      </c>
      <c r="AB75" s="43">
        <v>604</v>
      </c>
      <c r="AC75" s="44">
        <v>0</v>
      </c>
      <c r="AD75" s="177">
        <v>0</v>
      </c>
      <c r="AE75" s="178">
        <v>0</v>
      </c>
      <c r="AF75" s="179">
        <v>0</v>
      </c>
      <c r="AG75" s="45">
        <v>0</v>
      </c>
      <c r="AH75" s="43">
        <v>0</v>
      </c>
      <c r="AI75" s="44">
        <v>0</v>
      </c>
      <c r="AJ75" s="45">
        <v>0</v>
      </c>
      <c r="AK75" s="43">
        <v>0</v>
      </c>
      <c r="AL75" s="44">
        <v>0</v>
      </c>
      <c r="AM75" s="45">
        <v>0</v>
      </c>
      <c r="AN75" s="43">
        <v>0</v>
      </c>
      <c r="AO75" s="44">
        <v>0</v>
      </c>
    </row>
    <row r="76" spans="1:41" ht="15" customHeight="1" thickBot="1">
      <c r="A76" s="260"/>
      <c r="B76" s="289"/>
      <c r="C76" s="269" t="s">
        <v>42</v>
      </c>
      <c r="D76" s="270"/>
      <c r="E76" s="277"/>
      <c r="F76" s="32">
        <v>0</v>
      </c>
      <c r="G76" s="33">
        <v>0</v>
      </c>
      <c r="H76" s="34">
        <v>0</v>
      </c>
      <c r="I76" s="32">
        <v>0</v>
      </c>
      <c r="J76" s="33">
        <v>492</v>
      </c>
      <c r="K76" s="34">
        <v>0</v>
      </c>
      <c r="L76" s="32">
        <v>0</v>
      </c>
      <c r="M76" s="33">
        <v>492</v>
      </c>
      <c r="N76" s="117">
        <v>0</v>
      </c>
      <c r="O76" s="32">
        <v>0</v>
      </c>
      <c r="P76" s="33">
        <v>0</v>
      </c>
      <c r="Q76" s="34">
        <v>0</v>
      </c>
      <c r="R76" s="32">
        <v>0</v>
      </c>
      <c r="S76" s="33">
        <v>0</v>
      </c>
      <c r="T76" s="34">
        <v>0</v>
      </c>
      <c r="U76" s="32">
        <v>0</v>
      </c>
      <c r="V76" s="33">
        <v>0</v>
      </c>
      <c r="W76" s="34">
        <v>0</v>
      </c>
      <c r="X76" s="32">
        <v>0</v>
      </c>
      <c r="Y76" s="33">
        <v>0</v>
      </c>
      <c r="Z76" s="34">
        <v>0</v>
      </c>
      <c r="AA76" s="32">
        <v>0</v>
      </c>
      <c r="AB76" s="33"/>
      <c r="AC76" s="34">
        <v>0</v>
      </c>
      <c r="AD76" s="161">
        <v>0</v>
      </c>
      <c r="AE76" s="162">
        <v>492</v>
      </c>
      <c r="AF76" s="163">
        <v>0</v>
      </c>
      <c r="AG76" s="32">
        <v>0</v>
      </c>
      <c r="AH76" s="33">
        <v>492</v>
      </c>
      <c r="AI76" s="34">
        <v>0</v>
      </c>
      <c r="AJ76" s="32">
        <v>0</v>
      </c>
      <c r="AK76" s="33">
        <v>0</v>
      </c>
      <c r="AL76" s="34">
        <v>0</v>
      </c>
      <c r="AM76" s="32">
        <v>0</v>
      </c>
      <c r="AN76" s="33">
        <v>0</v>
      </c>
      <c r="AO76" s="34">
        <v>0</v>
      </c>
    </row>
    <row r="77" spans="1:41" ht="15" customHeight="1">
      <c r="A77" s="260"/>
      <c r="B77" s="282" t="s">
        <v>43</v>
      </c>
      <c r="C77" s="271" t="s">
        <v>13</v>
      </c>
      <c r="D77" s="272"/>
      <c r="E77" s="276" t="s">
        <v>25</v>
      </c>
      <c r="F77" s="22">
        <v>0</v>
      </c>
      <c r="G77" s="23">
        <v>327</v>
      </c>
      <c r="H77" s="24">
        <v>0</v>
      </c>
      <c r="I77" s="22">
        <v>0</v>
      </c>
      <c r="J77" s="23">
        <v>327</v>
      </c>
      <c r="K77" s="24">
        <v>0</v>
      </c>
      <c r="L77" s="22">
        <v>0</v>
      </c>
      <c r="M77" s="23">
        <v>327</v>
      </c>
      <c r="N77" s="54">
        <v>0</v>
      </c>
      <c r="O77" s="22">
        <v>0</v>
      </c>
      <c r="P77" s="23">
        <v>0</v>
      </c>
      <c r="Q77" s="24">
        <v>0</v>
      </c>
      <c r="R77" s="22">
        <v>0</v>
      </c>
      <c r="S77" s="23">
        <v>0</v>
      </c>
      <c r="T77" s="24">
        <v>0</v>
      </c>
      <c r="U77" s="22">
        <v>0</v>
      </c>
      <c r="V77" s="23">
        <v>327</v>
      </c>
      <c r="W77" s="24">
        <v>0</v>
      </c>
      <c r="X77" s="22">
        <v>0</v>
      </c>
      <c r="Y77" s="206">
        <v>327</v>
      </c>
      <c r="Z77" s="24">
        <v>0</v>
      </c>
      <c r="AA77" s="22">
        <v>0</v>
      </c>
      <c r="AB77" s="23">
        <v>0</v>
      </c>
      <c r="AC77" s="24">
        <v>0</v>
      </c>
      <c r="AD77" s="155">
        <v>0</v>
      </c>
      <c r="AE77" s="156">
        <v>0</v>
      </c>
      <c r="AF77" s="160">
        <v>0</v>
      </c>
      <c r="AG77" s="22">
        <v>0</v>
      </c>
      <c r="AH77" s="23">
        <v>0</v>
      </c>
      <c r="AI77" s="24">
        <v>0</v>
      </c>
      <c r="AJ77" s="22">
        <v>0</v>
      </c>
      <c r="AK77" s="23">
        <v>0</v>
      </c>
      <c r="AL77" s="24">
        <v>0</v>
      </c>
      <c r="AM77" s="22">
        <v>0</v>
      </c>
      <c r="AN77" s="23">
        <v>0</v>
      </c>
      <c r="AO77" s="24">
        <v>0</v>
      </c>
    </row>
    <row r="78" spans="1:41" ht="15" customHeight="1" thickBot="1">
      <c r="A78" s="260"/>
      <c r="B78" s="289"/>
      <c r="C78" s="269" t="s">
        <v>12</v>
      </c>
      <c r="D78" s="270"/>
      <c r="E78" s="264"/>
      <c r="F78" s="29">
        <v>0</v>
      </c>
      <c r="G78" s="30">
        <v>0</v>
      </c>
      <c r="H78" s="31">
        <v>0</v>
      </c>
      <c r="I78" s="29">
        <v>0</v>
      </c>
      <c r="J78" s="30">
        <v>0</v>
      </c>
      <c r="K78" s="31">
        <v>0</v>
      </c>
      <c r="L78" s="29">
        <v>0</v>
      </c>
      <c r="M78" s="30">
        <v>0</v>
      </c>
      <c r="N78" s="55">
        <v>0</v>
      </c>
      <c r="O78" s="29">
        <v>0</v>
      </c>
      <c r="P78" s="30">
        <v>0</v>
      </c>
      <c r="Q78" s="31">
        <v>0</v>
      </c>
      <c r="R78" s="29">
        <v>0</v>
      </c>
      <c r="S78" s="30">
        <v>0</v>
      </c>
      <c r="T78" s="31">
        <v>0</v>
      </c>
      <c r="U78" s="29">
        <v>0</v>
      </c>
      <c r="V78" s="30">
        <v>0</v>
      </c>
      <c r="W78" s="31">
        <v>0</v>
      </c>
      <c r="X78" s="29">
        <v>0</v>
      </c>
      <c r="Y78" s="30">
        <v>0</v>
      </c>
      <c r="Z78" s="31">
        <v>0</v>
      </c>
      <c r="AA78" s="29">
        <v>0</v>
      </c>
      <c r="AB78" s="30">
        <v>265</v>
      </c>
      <c r="AC78" s="31">
        <v>0</v>
      </c>
      <c r="AD78" s="157">
        <v>0</v>
      </c>
      <c r="AE78" s="158">
        <v>265</v>
      </c>
      <c r="AF78" s="159">
        <v>0</v>
      </c>
      <c r="AG78" s="29">
        <v>0</v>
      </c>
      <c r="AH78" s="30">
        <v>265</v>
      </c>
      <c r="AI78" s="31">
        <v>0</v>
      </c>
      <c r="AJ78" s="29">
        <v>0</v>
      </c>
      <c r="AK78" s="30">
        <v>0</v>
      </c>
      <c r="AL78" s="31">
        <v>0</v>
      </c>
      <c r="AM78" s="29">
        <v>0</v>
      </c>
      <c r="AN78" s="30">
        <v>0</v>
      </c>
      <c r="AO78" s="31">
        <v>0</v>
      </c>
    </row>
    <row r="79" spans="1:41" ht="15" customHeight="1">
      <c r="A79" s="260"/>
      <c r="B79" s="282" t="s">
        <v>46</v>
      </c>
      <c r="C79" s="271" t="s">
        <v>47</v>
      </c>
      <c r="D79" s="272"/>
      <c r="E79" s="276" t="s">
        <v>25</v>
      </c>
      <c r="F79" s="22">
        <v>0</v>
      </c>
      <c r="G79" s="23">
        <v>467</v>
      </c>
      <c r="H79" s="24">
        <v>467</v>
      </c>
      <c r="I79" s="22">
        <v>0</v>
      </c>
      <c r="J79" s="23">
        <v>467</v>
      </c>
      <c r="K79" s="24">
        <v>467</v>
      </c>
      <c r="L79" s="22">
        <v>0</v>
      </c>
      <c r="M79" s="23">
        <v>467</v>
      </c>
      <c r="N79" s="54">
        <v>467</v>
      </c>
      <c r="O79" s="22">
        <v>0</v>
      </c>
      <c r="P79" s="23">
        <v>0</v>
      </c>
      <c r="Q79" s="24">
        <v>0</v>
      </c>
      <c r="R79" s="22">
        <v>0</v>
      </c>
      <c r="S79" s="23">
        <v>0</v>
      </c>
      <c r="T79" s="24">
        <v>0</v>
      </c>
      <c r="U79" s="22">
        <v>0</v>
      </c>
      <c r="V79" s="23">
        <v>467</v>
      </c>
      <c r="W79" s="24">
        <v>467</v>
      </c>
      <c r="X79" s="22">
        <v>0</v>
      </c>
      <c r="Y79" s="23">
        <v>467</v>
      </c>
      <c r="Z79" s="24">
        <v>467</v>
      </c>
      <c r="AA79" s="22">
        <v>0</v>
      </c>
      <c r="AB79" s="23">
        <v>467</v>
      </c>
      <c r="AC79" s="24">
        <v>467</v>
      </c>
      <c r="AD79" s="155">
        <v>0</v>
      </c>
      <c r="AE79" s="156">
        <v>467</v>
      </c>
      <c r="AF79" s="160">
        <v>467</v>
      </c>
      <c r="AG79" s="22">
        <v>0</v>
      </c>
      <c r="AH79" s="23">
        <v>467</v>
      </c>
      <c r="AI79" s="24">
        <v>467</v>
      </c>
      <c r="AJ79" s="22">
        <v>0</v>
      </c>
      <c r="AK79" s="23">
        <v>0</v>
      </c>
      <c r="AL79" s="24">
        <v>0</v>
      </c>
      <c r="AM79" s="22">
        <v>0</v>
      </c>
      <c r="AN79" s="23">
        <v>0</v>
      </c>
      <c r="AO79" s="24">
        <v>0</v>
      </c>
    </row>
    <row r="80" spans="1:41" ht="15" customHeight="1" thickBot="1">
      <c r="A80" s="260"/>
      <c r="B80" s="289"/>
      <c r="C80" s="269" t="s">
        <v>48</v>
      </c>
      <c r="D80" s="270"/>
      <c r="E80" s="264"/>
      <c r="F80" s="29">
        <v>0</v>
      </c>
      <c r="G80" s="30">
        <v>467</v>
      </c>
      <c r="H80" s="31">
        <v>467</v>
      </c>
      <c r="I80" s="29">
        <v>0</v>
      </c>
      <c r="J80" s="30">
        <v>467</v>
      </c>
      <c r="K80" s="31">
        <v>467</v>
      </c>
      <c r="L80" s="29">
        <v>0</v>
      </c>
      <c r="M80" s="30">
        <v>467</v>
      </c>
      <c r="N80" s="55">
        <v>467</v>
      </c>
      <c r="O80" s="29">
        <v>0</v>
      </c>
      <c r="P80" s="30">
        <v>0</v>
      </c>
      <c r="Q80" s="31">
        <v>0</v>
      </c>
      <c r="R80" s="29">
        <v>0</v>
      </c>
      <c r="S80" s="30">
        <v>0</v>
      </c>
      <c r="T80" s="31">
        <v>0</v>
      </c>
      <c r="U80" s="29">
        <v>0</v>
      </c>
      <c r="V80" s="30">
        <v>467</v>
      </c>
      <c r="W80" s="31">
        <v>467</v>
      </c>
      <c r="X80" s="29">
        <v>0</v>
      </c>
      <c r="Y80" s="30">
        <v>467</v>
      </c>
      <c r="Z80" s="31">
        <v>467</v>
      </c>
      <c r="AA80" s="29">
        <v>0</v>
      </c>
      <c r="AB80" s="30">
        <v>467</v>
      </c>
      <c r="AC80" s="31">
        <v>467</v>
      </c>
      <c r="AD80" s="157">
        <v>0</v>
      </c>
      <c r="AE80" s="158">
        <v>467</v>
      </c>
      <c r="AF80" s="159">
        <v>467</v>
      </c>
      <c r="AG80" s="29">
        <v>0</v>
      </c>
      <c r="AH80" s="30">
        <v>467</v>
      </c>
      <c r="AI80" s="31">
        <v>467</v>
      </c>
      <c r="AJ80" s="29">
        <v>0</v>
      </c>
      <c r="AK80" s="30">
        <v>0</v>
      </c>
      <c r="AL80" s="31">
        <v>0</v>
      </c>
      <c r="AM80" s="29">
        <v>0</v>
      </c>
      <c r="AN80" s="30">
        <v>0</v>
      </c>
      <c r="AO80" s="31">
        <v>0</v>
      </c>
    </row>
    <row r="81" spans="1:41" ht="9.75" customHeight="1">
      <c r="A81" s="260"/>
      <c r="B81" s="283" t="s">
        <v>20</v>
      </c>
      <c r="C81" s="246" t="s">
        <v>15</v>
      </c>
      <c r="D81" s="247"/>
      <c r="E81" s="262">
        <v>190</v>
      </c>
      <c r="F81" s="79"/>
      <c r="G81" s="94"/>
      <c r="H81" s="95"/>
      <c r="I81" s="79"/>
      <c r="J81" s="94"/>
      <c r="K81" s="95"/>
      <c r="L81" s="79"/>
      <c r="M81" s="94"/>
      <c r="N81" s="95"/>
      <c r="O81" s="45"/>
      <c r="P81" s="77"/>
      <c r="Q81" s="78"/>
      <c r="R81" s="79"/>
      <c r="S81" s="77"/>
      <c r="T81" s="78"/>
      <c r="U81" s="79"/>
      <c r="V81" s="94"/>
      <c r="W81" s="95"/>
      <c r="X81" s="96"/>
      <c r="Y81" s="94"/>
      <c r="Z81" s="95"/>
      <c r="AA81" s="96"/>
      <c r="AB81" s="94"/>
      <c r="AC81" s="95"/>
      <c r="AD81" s="180"/>
      <c r="AE81" s="181"/>
      <c r="AF81" s="182"/>
      <c r="AG81" s="96"/>
      <c r="AH81" s="94"/>
      <c r="AI81" s="95">
        <v>0</v>
      </c>
      <c r="AJ81" s="45">
        <v>0</v>
      </c>
      <c r="AK81" s="43">
        <v>0</v>
      </c>
      <c r="AL81" s="44">
        <v>0</v>
      </c>
      <c r="AM81" s="45">
        <v>0</v>
      </c>
      <c r="AN81" s="43">
        <v>0</v>
      </c>
      <c r="AO81" s="44">
        <v>0</v>
      </c>
    </row>
    <row r="82" spans="1:41" ht="9.75" customHeight="1">
      <c r="A82" s="260"/>
      <c r="B82" s="283"/>
      <c r="C82" s="251" t="s">
        <v>84</v>
      </c>
      <c r="D82" s="252"/>
      <c r="E82" s="263"/>
      <c r="F82" s="40"/>
      <c r="G82" s="41"/>
      <c r="H82" s="42"/>
      <c r="I82" s="40"/>
      <c r="J82" s="41"/>
      <c r="K82" s="42"/>
      <c r="L82" s="40"/>
      <c r="M82" s="41"/>
      <c r="N82" s="57"/>
      <c r="O82" s="40"/>
      <c r="P82" s="118"/>
      <c r="Q82" s="42"/>
      <c r="R82" s="40"/>
      <c r="S82" s="41"/>
      <c r="T82" s="42"/>
      <c r="U82" s="40"/>
      <c r="V82" s="41"/>
      <c r="W82" s="42"/>
      <c r="X82" s="40"/>
      <c r="Y82" s="41"/>
      <c r="Z82" s="42"/>
      <c r="AA82" s="40"/>
      <c r="AB82" s="41"/>
      <c r="AC82" s="42"/>
      <c r="AD82" s="167"/>
      <c r="AE82" s="168"/>
      <c r="AF82" s="169"/>
      <c r="AG82" s="40"/>
      <c r="AH82" s="41"/>
      <c r="AI82" s="42"/>
      <c r="AJ82" s="40"/>
      <c r="AK82" s="41"/>
      <c r="AL82" s="42"/>
      <c r="AM82" s="40"/>
      <c r="AN82" s="41"/>
      <c r="AO82" s="42"/>
    </row>
    <row r="83" spans="1:41" ht="9.75" customHeight="1" thickBot="1">
      <c r="A83" s="261"/>
      <c r="B83" s="289"/>
      <c r="C83" s="269" t="s">
        <v>19</v>
      </c>
      <c r="D83" s="270"/>
      <c r="E83" s="264"/>
      <c r="F83" s="80"/>
      <c r="G83" s="81"/>
      <c r="H83" s="82"/>
      <c r="I83" s="80"/>
      <c r="J83" s="81"/>
      <c r="K83" s="82"/>
      <c r="L83" s="80"/>
      <c r="M83" s="81"/>
      <c r="N83" s="82"/>
      <c r="O83" s="80">
        <v>0</v>
      </c>
      <c r="P83" s="123"/>
      <c r="Q83" s="82"/>
      <c r="R83" s="80"/>
      <c r="S83" s="81"/>
      <c r="T83" s="82"/>
      <c r="U83" s="80"/>
      <c r="V83" s="81"/>
      <c r="W83" s="82"/>
      <c r="X83" s="80"/>
      <c r="Y83" s="81"/>
      <c r="Z83" s="82"/>
      <c r="AA83" s="80"/>
      <c r="AB83" s="81"/>
      <c r="AC83" s="82"/>
      <c r="AD83" s="183"/>
      <c r="AE83" s="184"/>
      <c r="AF83" s="185"/>
      <c r="AG83" s="80"/>
      <c r="AH83" s="81"/>
      <c r="AI83" s="82"/>
      <c r="AJ83" s="99">
        <v>0</v>
      </c>
      <c r="AK83" s="100">
        <v>0</v>
      </c>
      <c r="AL83" s="101">
        <v>0</v>
      </c>
      <c r="AM83" s="99">
        <v>0</v>
      </c>
      <c r="AN83" s="100">
        <v>0</v>
      </c>
      <c r="AO83" s="101">
        <v>0</v>
      </c>
    </row>
    <row r="84" spans="1:41" ht="9" customHeight="1" thickBot="1">
      <c r="F84" s="52"/>
      <c r="G84" s="52"/>
      <c r="H84" s="52"/>
      <c r="I84" s="52"/>
      <c r="J84" s="52"/>
      <c r="K84" s="52"/>
      <c r="L84" s="52"/>
      <c r="M84" s="52"/>
      <c r="N84" s="52"/>
      <c r="O84" s="109"/>
      <c r="P84" s="109"/>
      <c r="Q84" s="109"/>
      <c r="R84" s="109"/>
      <c r="S84" s="109"/>
      <c r="T84" s="109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09"/>
      <c r="AK84" s="109"/>
      <c r="AL84" s="109"/>
      <c r="AM84" s="109"/>
      <c r="AN84" s="109"/>
      <c r="AO84" s="109"/>
    </row>
    <row r="85" spans="1:41" ht="15" customHeight="1">
      <c r="A85" s="256" t="s">
        <v>72</v>
      </c>
      <c r="B85" s="282" t="s">
        <v>68</v>
      </c>
      <c r="C85" s="271" t="s">
        <v>63</v>
      </c>
      <c r="D85" s="272"/>
      <c r="E85" s="276" t="s">
        <v>25</v>
      </c>
      <c r="F85" s="376">
        <v>744</v>
      </c>
      <c r="G85" s="122">
        <v>744</v>
      </c>
      <c r="H85" s="122">
        <v>744</v>
      </c>
      <c r="I85" s="83">
        <v>0</v>
      </c>
      <c r="J85" s="84">
        <v>0</v>
      </c>
      <c r="K85" s="85">
        <v>0</v>
      </c>
      <c r="L85" s="23">
        <v>0</v>
      </c>
      <c r="M85" s="23">
        <v>0</v>
      </c>
      <c r="N85" s="23">
        <v>0</v>
      </c>
      <c r="O85" s="97">
        <v>0</v>
      </c>
      <c r="P85" s="98">
        <v>0</v>
      </c>
      <c r="Q85" s="102">
        <v>0</v>
      </c>
      <c r="R85" s="191">
        <v>0</v>
      </c>
      <c r="S85" s="192">
        <v>0</v>
      </c>
      <c r="T85" s="193">
        <v>0</v>
      </c>
      <c r="U85" s="83">
        <v>0</v>
      </c>
      <c r="V85" s="85">
        <v>0</v>
      </c>
      <c r="W85" s="85">
        <v>0</v>
      </c>
      <c r="X85" s="83">
        <v>0</v>
      </c>
      <c r="Y85" s="84">
        <v>0</v>
      </c>
      <c r="Z85" s="85">
        <v>0</v>
      </c>
      <c r="AA85" s="243">
        <v>744</v>
      </c>
      <c r="AB85" s="244">
        <v>744</v>
      </c>
      <c r="AC85" s="245">
        <v>0</v>
      </c>
      <c r="AD85" s="186">
        <v>744</v>
      </c>
      <c r="AE85" s="187">
        <v>744</v>
      </c>
      <c r="AF85" s="160">
        <v>0</v>
      </c>
      <c r="AG85" s="22">
        <v>744</v>
      </c>
      <c r="AH85" s="23">
        <v>744</v>
      </c>
      <c r="AI85" s="24">
        <v>0</v>
      </c>
      <c r="AJ85" s="97">
        <v>0</v>
      </c>
      <c r="AK85" s="98">
        <v>0</v>
      </c>
      <c r="AL85" s="113">
        <v>0</v>
      </c>
      <c r="AM85" s="97">
        <v>0</v>
      </c>
      <c r="AN85" s="98">
        <v>0</v>
      </c>
      <c r="AO85" s="113">
        <v>0</v>
      </c>
    </row>
    <row r="86" spans="1:41" ht="15" customHeight="1" thickBot="1">
      <c r="A86" s="257"/>
      <c r="B86" s="289"/>
      <c r="C86" s="269" t="s">
        <v>64</v>
      </c>
      <c r="D86" s="270"/>
      <c r="E86" s="264"/>
      <c r="F86" s="29">
        <v>0</v>
      </c>
      <c r="G86" s="30">
        <v>0</v>
      </c>
      <c r="H86" s="30">
        <v>0</v>
      </c>
      <c r="I86" s="80">
        <v>744</v>
      </c>
      <c r="J86" s="81">
        <v>744</v>
      </c>
      <c r="K86" s="82">
        <v>0</v>
      </c>
      <c r="L86" s="30">
        <v>744</v>
      </c>
      <c r="M86" s="30">
        <v>744</v>
      </c>
      <c r="N86" s="30">
        <v>0</v>
      </c>
      <c r="O86" s="99">
        <v>0</v>
      </c>
      <c r="P86" s="100">
        <v>0</v>
      </c>
      <c r="Q86" s="101">
        <v>0</v>
      </c>
      <c r="R86" s="194">
        <v>0</v>
      </c>
      <c r="S86" s="195">
        <v>0</v>
      </c>
      <c r="T86" s="196">
        <v>0</v>
      </c>
      <c r="U86" s="80">
        <v>744</v>
      </c>
      <c r="V86" s="81">
        <v>744</v>
      </c>
      <c r="W86" s="82">
        <v>0</v>
      </c>
      <c r="X86" s="201">
        <v>744</v>
      </c>
      <c r="Y86" s="202">
        <v>744</v>
      </c>
      <c r="Z86" s="203">
        <v>744</v>
      </c>
      <c r="AA86" s="80">
        <v>0</v>
      </c>
      <c r="AB86" s="81">
        <v>0</v>
      </c>
      <c r="AC86" s="82">
        <v>0</v>
      </c>
      <c r="AD86" s="183">
        <v>0</v>
      </c>
      <c r="AE86" s="184">
        <v>0</v>
      </c>
      <c r="AF86" s="159">
        <v>0</v>
      </c>
      <c r="AG86" s="29">
        <v>0</v>
      </c>
      <c r="AH86" s="30">
        <v>0</v>
      </c>
      <c r="AI86" s="31">
        <v>0</v>
      </c>
      <c r="AJ86" s="99">
        <v>0</v>
      </c>
      <c r="AK86" s="100">
        <v>0</v>
      </c>
      <c r="AL86" s="114">
        <v>0</v>
      </c>
      <c r="AM86" s="99">
        <v>0</v>
      </c>
      <c r="AN86" s="100">
        <v>0</v>
      </c>
      <c r="AO86" s="114">
        <v>0</v>
      </c>
    </row>
    <row r="87" spans="1:41" ht="15" customHeight="1" thickBot="1">
      <c r="A87" s="257"/>
      <c r="B87" s="7" t="s">
        <v>65</v>
      </c>
      <c r="C87" s="374" t="s">
        <v>65</v>
      </c>
      <c r="D87" s="375"/>
      <c r="E87" s="11" t="s">
        <v>25</v>
      </c>
      <c r="F87" s="46">
        <v>800</v>
      </c>
      <c r="G87" s="154">
        <v>800</v>
      </c>
      <c r="H87" s="154">
        <v>800</v>
      </c>
      <c r="I87" s="154">
        <v>800</v>
      </c>
      <c r="J87" s="154">
        <v>800</v>
      </c>
      <c r="K87" s="154">
        <v>800</v>
      </c>
      <c r="L87" s="154">
        <v>800</v>
      </c>
      <c r="M87" s="154">
        <v>800</v>
      </c>
      <c r="N87" s="154">
        <v>800</v>
      </c>
      <c r="O87" s="110">
        <v>0</v>
      </c>
      <c r="P87" s="111">
        <v>0</v>
      </c>
      <c r="Q87" s="111">
        <v>0</v>
      </c>
      <c r="R87" s="110">
        <v>0</v>
      </c>
      <c r="S87" s="111">
        <v>0</v>
      </c>
      <c r="T87" s="111">
        <v>0</v>
      </c>
      <c r="U87" s="154">
        <v>800</v>
      </c>
      <c r="V87" s="154">
        <v>800</v>
      </c>
      <c r="W87" s="46">
        <v>800</v>
      </c>
      <c r="X87" s="154">
        <v>800</v>
      </c>
      <c r="Y87" s="154">
        <v>800</v>
      </c>
      <c r="Z87" s="46">
        <v>800</v>
      </c>
      <c r="AA87" s="154">
        <v>800</v>
      </c>
      <c r="AB87" s="154">
        <v>800</v>
      </c>
      <c r="AC87" s="48">
        <v>800</v>
      </c>
      <c r="AD87" s="188">
        <v>800</v>
      </c>
      <c r="AE87" s="189">
        <v>800</v>
      </c>
      <c r="AF87" s="190">
        <v>800</v>
      </c>
      <c r="AG87" s="46">
        <v>800</v>
      </c>
      <c r="AH87" s="47">
        <v>800</v>
      </c>
      <c r="AI87" s="48">
        <v>800</v>
      </c>
      <c r="AJ87" s="110">
        <v>0</v>
      </c>
      <c r="AK87" s="111">
        <v>0</v>
      </c>
      <c r="AL87" s="115">
        <v>0</v>
      </c>
      <c r="AM87" s="110">
        <v>0</v>
      </c>
      <c r="AN87" s="111">
        <v>0</v>
      </c>
      <c r="AO87" s="115">
        <v>0</v>
      </c>
    </row>
    <row r="88" spans="1:41" ht="15" hidden="1" customHeight="1">
      <c r="A88" s="257"/>
      <c r="B88" s="283" t="s">
        <v>69</v>
      </c>
      <c r="C88" s="246" t="s">
        <v>66</v>
      </c>
      <c r="D88" s="247"/>
      <c r="E88" s="262" t="s">
        <v>25</v>
      </c>
      <c r="F88" s="45">
        <v>0</v>
      </c>
      <c r="G88" s="43">
        <v>0</v>
      </c>
      <c r="H88" s="44">
        <v>0</v>
      </c>
      <c r="I88" s="45">
        <v>0</v>
      </c>
      <c r="J88" s="43">
        <v>0</v>
      </c>
      <c r="K88" s="44">
        <v>0</v>
      </c>
      <c r="L88" s="45">
        <v>0</v>
      </c>
      <c r="M88" s="43">
        <v>0</v>
      </c>
      <c r="N88" s="58">
        <v>0</v>
      </c>
      <c r="O88" s="107">
        <v>0</v>
      </c>
      <c r="P88" s="108">
        <v>0</v>
      </c>
      <c r="Q88" s="197">
        <v>0</v>
      </c>
      <c r="R88" s="107">
        <v>0</v>
      </c>
      <c r="S88" s="108">
        <v>0</v>
      </c>
      <c r="T88" s="197">
        <v>0</v>
      </c>
      <c r="U88" s="45">
        <v>0</v>
      </c>
      <c r="V88" s="43">
        <v>0</v>
      </c>
      <c r="W88" s="44">
        <v>0</v>
      </c>
      <c r="X88" s="45">
        <v>0</v>
      </c>
      <c r="Y88" s="43">
        <v>0</v>
      </c>
      <c r="Z88" s="44">
        <v>0</v>
      </c>
      <c r="AA88" s="45">
        <v>0</v>
      </c>
      <c r="AB88" s="43">
        <v>0</v>
      </c>
      <c r="AC88" s="44">
        <v>0</v>
      </c>
      <c r="AD88" s="179">
        <v>0</v>
      </c>
      <c r="AE88" s="179">
        <v>0</v>
      </c>
      <c r="AF88" s="179">
        <v>0</v>
      </c>
      <c r="AG88" s="45">
        <v>0</v>
      </c>
      <c r="AH88" s="43">
        <v>0</v>
      </c>
      <c r="AI88" s="44">
        <v>0</v>
      </c>
      <c r="AJ88" s="107">
        <v>0</v>
      </c>
      <c r="AK88" s="108">
        <v>0</v>
      </c>
      <c r="AL88" s="116">
        <v>0</v>
      </c>
      <c r="AM88" s="107">
        <v>0</v>
      </c>
      <c r="AN88" s="108">
        <v>0</v>
      </c>
      <c r="AO88" s="116">
        <v>0</v>
      </c>
    </row>
    <row r="89" spans="1:41" ht="15.75" hidden="1" customHeight="1" thickBot="1">
      <c r="A89" s="258"/>
      <c r="B89" s="289"/>
      <c r="C89" s="269" t="s">
        <v>67</v>
      </c>
      <c r="D89" s="270"/>
      <c r="E89" s="264"/>
      <c r="F89" s="29">
        <v>0</v>
      </c>
      <c r="G89" s="30">
        <v>0</v>
      </c>
      <c r="H89" s="31">
        <v>0</v>
      </c>
      <c r="I89" s="29">
        <v>0</v>
      </c>
      <c r="J89" s="30">
        <v>0</v>
      </c>
      <c r="K89" s="31">
        <v>0</v>
      </c>
      <c r="L89" s="29">
        <v>0</v>
      </c>
      <c r="M89" s="30">
        <v>0</v>
      </c>
      <c r="N89" s="55">
        <v>0</v>
      </c>
      <c r="O89" s="99">
        <v>0</v>
      </c>
      <c r="P89" s="100">
        <v>0</v>
      </c>
      <c r="Q89" s="101">
        <v>0</v>
      </c>
      <c r="R89" s="99">
        <v>0</v>
      </c>
      <c r="S89" s="100">
        <v>0</v>
      </c>
      <c r="T89" s="101">
        <v>0</v>
      </c>
      <c r="U89" s="29">
        <v>0</v>
      </c>
      <c r="V89" s="30">
        <v>0</v>
      </c>
      <c r="W89" s="31">
        <v>0</v>
      </c>
      <c r="X89" s="29">
        <v>0</v>
      </c>
      <c r="Y89" s="30">
        <v>0</v>
      </c>
      <c r="Z89" s="31">
        <v>0</v>
      </c>
      <c r="AA89" s="29">
        <v>0</v>
      </c>
      <c r="AB89" s="30">
        <v>0</v>
      </c>
      <c r="AC89" s="31">
        <v>0</v>
      </c>
      <c r="AD89" s="159">
        <v>0</v>
      </c>
      <c r="AE89" s="159">
        <v>0</v>
      </c>
      <c r="AF89" s="159">
        <v>0</v>
      </c>
      <c r="AG89" s="29">
        <v>0</v>
      </c>
      <c r="AH89" s="30">
        <v>0</v>
      </c>
      <c r="AI89" s="31">
        <v>0</v>
      </c>
      <c r="AJ89" s="99">
        <v>0</v>
      </c>
      <c r="AK89" s="100">
        <v>0</v>
      </c>
      <c r="AL89" s="114">
        <v>0</v>
      </c>
      <c r="AM89" s="99">
        <v>0</v>
      </c>
      <c r="AN89" s="100">
        <v>0</v>
      </c>
      <c r="AO89" s="114">
        <v>0</v>
      </c>
    </row>
    <row r="90" spans="1:41" ht="7.5" customHeight="1" thickBot="1">
      <c r="O90" s="112"/>
      <c r="P90" s="112"/>
      <c r="Q90" s="112"/>
      <c r="R90" s="112"/>
      <c r="S90" s="112"/>
      <c r="T90" s="112"/>
      <c r="AJ90" s="112"/>
      <c r="AK90" s="112"/>
      <c r="AL90" s="112"/>
      <c r="AM90" s="112"/>
      <c r="AN90" s="112"/>
      <c r="AO90" s="112"/>
    </row>
    <row r="91" spans="1:41" ht="15" customHeight="1">
      <c r="A91" s="248" t="s">
        <v>76</v>
      </c>
      <c r="B91" s="282" t="s">
        <v>77</v>
      </c>
      <c r="C91" s="300" t="s">
        <v>78</v>
      </c>
      <c r="D91" s="301"/>
      <c r="E91" s="72" t="s">
        <v>24</v>
      </c>
      <c r="F91" s="22">
        <v>340</v>
      </c>
      <c r="G91" s="22">
        <v>340</v>
      </c>
      <c r="H91" s="22">
        <v>0</v>
      </c>
      <c r="I91" s="22">
        <v>340</v>
      </c>
      <c r="J91" s="22">
        <v>340</v>
      </c>
      <c r="K91" s="22">
        <v>0</v>
      </c>
      <c r="L91" s="22">
        <v>340</v>
      </c>
      <c r="M91" s="22">
        <v>340</v>
      </c>
      <c r="N91" s="22">
        <v>0</v>
      </c>
      <c r="O91" s="97">
        <v>0</v>
      </c>
      <c r="P91" s="98">
        <v>0</v>
      </c>
      <c r="Q91" s="98">
        <v>0</v>
      </c>
      <c r="R91" s="97">
        <v>0</v>
      </c>
      <c r="S91" s="98">
        <v>0</v>
      </c>
      <c r="T91" s="102">
        <v>0</v>
      </c>
      <c r="U91" s="22">
        <v>340</v>
      </c>
      <c r="V91" s="22">
        <v>340</v>
      </c>
      <c r="W91" s="22">
        <v>0</v>
      </c>
      <c r="X91" s="22">
        <v>340</v>
      </c>
      <c r="Y91" s="22">
        <v>340</v>
      </c>
      <c r="Z91" s="22">
        <v>0</v>
      </c>
      <c r="AA91" s="22">
        <v>340</v>
      </c>
      <c r="AB91" s="22">
        <v>340</v>
      </c>
      <c r="AC91" s="22">
        <v>0</v>
      </c>
      <c r="AD91" s="155">
        <v>340</v>
      </c>
      <c r="AE91" s="155">
        <v>340</v>
      </c>
      <c r="AF91" s="155">
        <v>0</v>
      </c>
      <c r="AG91" s="22">
        <v>340</v>
      </c>
      <c r="AH91" s="23">
        <v>340</v>
      </c>
      <c r="AI91" s="24">
        <v>0</v>
      </c>
      <c r="AJ91" s="97">
        <v>0</v>
      </c>
      <c r="AK91" s="98">
        <v>0</v>
      </c>
      <c r="AL91" s="102">
        <v>0</v>
      </c>
      <c r="AM91" s="97">
        <v>0</v>
      </c>
      <c r="AN91" s="98">
        <v>0</v>
      </c>
      <c r="AO91" s="102">
        <v>0</v>
      </c>
    </row>
    <row r="92" spans="1:41" ht="15" customHeight="1" thickBot="1">
      <c r="A92" s="249"/>
      <c r="B92" s="289"/>
      <c r="C92" s="320"/>
      <c r="D92" s="303"/>
      <c r="E92" s="66" t="s">
        <v>25</v>
      </c>
      <c r="F92" s="36">
        <f t="shared" ref="F92:K92" si="3">F91</f>
        <v>340</v>
      </c>
      <c r="G92" s="36">
        <f t="shared" si="3"/>
        <v>340</v>
      </c>
      <c r="H92" s="36">
        <f t="shared" si="3"/>
        <v>0</v>
      </c>
      <c r="I92" s="36">
        <f t="shared" si="3"/>
        <v>340</v>
      </c>
      <c r="J92" s="36">
        <f t="shared" si="3"/>
        <v>340</v>
      </c>
      <c r="K92" s="36">
        <f t="shared" si="3"/>
        <v>0</v>
      </c>
      <c r="L92" s="36">
        <f t="shared" ref="L92:T92" si="4">L91</f>
        <v>340</v>
      </c>
      <c r="M92" s="36">
        <f t="shared" si="4"/>
        <v>340</v>
      </c>
      <c r="N92" s="36">
        <f t="shared" si="4"/>
        <v>0</v>
      </c>
      <c r="O92" s="104">
        <f t="shared" si="4"/>
        <v>0</v>
      </c>
      <c r="P92" s="105">
        <f t="shared" si="4"/>
        <v>0</v>
      </c>
      <c r="Q92" s="105">
        <f t="shared" si="4"/>
        <v>0</v>
      </c>
      <c r="R92" s="104">
        <f t="shared" si="4"/>
        <v>0</v>
      </c>
      <c r="S92" s="105">
        <f t="shared" si="4"/>
        <v>0</v>
      </c>
      <c r="T92" s="106">
        <f t="shared" si="4"/>
        <v>0</v>
      </c>
      <c r="U92" s="36">
        <f t="shared" ref="U92:AC92" si="5">U91</f>
        <v>340</v>
      </c>
      <c r="V92" s="36">
        <f t="shared" si="5"/>
        <v>340</v>
      </c>
      <c r="W92" s="36">
        <f t="shared" si="5"/>
        <v>0</v>
      </c>
      <c r="X92" s="36">
        <f t="shared" si="5"/>
        <v>340</v>
      </c>
      <c r="Y92" s="36">
        <f t="shared" si="5"/>
        <v>340</v>
      </c>
      <c r="Z92" s="36">
        <f t="shared" si="5"/>
        <v>0</v>
      </c>
      <c r="AA92" s="36">
        <f t="shared" si="5"/>
        <v>340</v>
      </c>
      <c r="AB92" s="36">
        <f t="shared" si="5"/>
        <v>340</v>
      </c>
      <c r="AC92" s="36">
        <f t="shared" si="5"/>
        <v>0</v>
      </c>
      <c r="AD92" s="171">
        <f t="shared" ref="AD92:AI92" si="6">AD91</f>
        <v>340</v>
      </c>
      <c r="AE92" s="171">
        <f t="shared" si="6"/>
        <v>340</v>
      </c>
      <c r="AF92" s="171">
        <f t="shared" si="6"/>
        <v>0</v>
      </c>
      <c r="AG92" s="36">
        <f t="shared" si="6"/>
        <v>340</v>
      </c>
      <c r="AH92" s="37">
        <f t="shared" si="6"/>
        <v>340</v>
      </c>
      <c r="AI92" s="38">
        <f t="shared" si="6"/>
        <v>0</v>
      </c>
      <c r="AJ92" s="104">
        <f t="shared" ref="AJ92:AO92" si="7">AJ91</f>
        <v>0</v>
      </c>
      <c r="AK92" s="105">
        <f t="shared" si="7"/>
        <v>0</v>
      </c>
      <c r="AL92" s="106">
        <f t="shared" si="7"/>
        <v>0</v>
      </c>
      <c r="AM92" s="104">
        <f t="shared" si="7"/>
        <v>0</v>
      </c>
      <c r="AN92" s="105">
        <f t="shared" si="7"/>
        <v>0</v>
      </c>
      <c r="AO92" s="106">
        <f t="shared" si="7"/>
        <v>0</v>
      </c>
    </row>
    <row r="93" spans="1:41" ht="15" customHeight="1" thickBot="1">
      <c r="A93" s="249"/>
      <c r="B93" s="7" t="s">
        <v>44</v>
      </c>
      <c r="C93" s="374" t="s">
        <v>45</v>
      </c>
      <c r="D93" s="375"/>
      <c r="E93" s="11" t="s">
        <v>25</v>
      </c>
      <c r="F93" s="46"/>
      <c r="G93" s="46">
        <v>220</v>
      </c>
      <c r="H93" s="46">
        <v>0</v>
      </c>
      <c r="I93" s="46"/>
      <c r="J93" s="46">
        <v>220</v>
      </c>
      <c r="K93" s="46">
        <v>0</v>
      </c>
      <c r="L93" s="46"/>
      <c r="M93" s="46">
        <v>220</v>
      </c>
      <c r="N93" s="46">
        <v>0</v>
      </c>
      <c r="O93" s="110">
        <v>0</v>
      </c>
      <c r="P93" s="111">
        <v>0</v>
      </c>
      <c r="Q93" s="111">
        <v>0</v>
      </c>
      <c r="R93" s="110">
        <v>0</v>
      </c>
      <c r="S93" s="111">
        <v>0</v>
      </c>
      <c r="T93" s="198">
        <v>0</v>
      </c>
      <c r="U93" s="46"/>
      <c r="V93" s="46">
        <v>220</v>
      </c>
      <c r="W93" s="46">
        <v>0</v>
      </c>
      <c r="X93" s="46"/>
      <c r="Y93" s="46">
        <v>220</v>
      </c>
      <c r="Z93" s="46">
        <v>0</v>
      </c>
      <c r="AA93" s="46"/>
      <c r="AB93" s="46">
        <v>220</v>
      </c>
      <c r="AC93" s="46">
        <v>0</v>
      </c>
      <c r="AD93" s="46"/>
      <c r="AE93" s="46">
        <v>220</v>
      </c>
      <c r="AF93" s="46">
        <v>0</v>
      </c>
      <c r="AG93" s="46"/>
      <c r="AH93" s="46">
        <v>220</v>
      </c>
      <c r="AI93" s="46">
        <v>0</v>
      </c>
      <c r="AJ93" s="59">
        <v>0</v>
      </c>
      <c r="AK93" s="60">
        <v>0</v>
      </c>
      <c r="AL93" s="61">
        <v>0</v>
      </c>
      <c r="AM93" s="59">
        <v>0</v>
      </c>
      <c r="AN93" s="60">
        <v>0</v>
      </c>
      <c r="AO93" s="61">
        <v>0</v>
      </c>
    </row>
    <row r="94" spans="1:41" ht="8.25" customHeight="1">
      <c r="A94" s="249"/>
      <c r="B94" s="73"/>
      <c r="C94" s="370"/>
      <c r="D94" s="272"/>
      <c r="E94" s="16"/>
      <c r="F94" s="22"/>
      <c r="G94" s="23"/>
      <c r="H94" s="24"/>
      <c r="I94" s="22"/>
      <c r="J94" s="23"/>
      <c r="K94" s="24"/>
      <c r="L94" s="22"/>
      <c r="M94" s="23"/>
      <c r="N94" s="54"/>
      <c r="O94" s="22"/>
      <c r="P94" s="23"/>
      <c r="Q94" s="24"/>
      <c r="R94" s="22"/>
      <c r="S94" s="23"/>
      <c r="T94" s="24"/>
      <c r="U94" s="22"/>
      <c r="V94" s="23"/>
      <c r="W94" s="24"/>
      <c r="X94" s="22"/>
      <c r="Y94" s="23"/>
      <c r="Z94" s="24"/>
      <c r="AA94" s="22"/>
      <c r="AB94" s="23"/>
      <c r="AC94" s="24"/>
      <c r="AD94" s="155"/>
      <c r="AE94" s="156"/>
      <c r="AF94" s="160"/>
      <c r="AG94" s="22"/>
      <c r="AH94" s="23"/>
      <c r="AI94" s="24"/>
      <c r="AJ94" s="22"/>
      <c r="AK94" s="23"/>
      <c r="AL94" s="24"/>
      <c r="AM94" s="22"/>
      <c r="AN94" s="23"/>
      <c r="AO94" s="24"/>
    </row>
    <row r="95" spans="1:41" ht="8.25" customHeight="1">
      <c r="A95" s="249"/>
      <c r="B95" s="74"/>
      <c r="C95" s="70"/>
      <c r="D95" s="65"/>
      <c r="E95" s="17"/>
      <c r="F95" s="40"/>
      <c r="G95" s="41"/>
      <c r="H95" s="42"/>
      <c r="I95" s="40"/>
      <c r="J95" s="41"/>
      <c r="K95" s="42"/>
      <c r="L95" s="40"/>
      <c r="M95" s="120"/>
      <c r="N95" s="57"/>
      <c r="O95" s="40"/>
      <c r="P95" s="41"/>
      <c r="Q95" s="42"/>
      <c r="R95" s="40"/>
      <c r="S95" s="41"/>
      <c r="T95" s="42"/>
      <c r="U95" s="40"/>
      <c r="V95" s="41"/>
      <c r="W95" s="42"/>
      <c r="X95" s="40"/>
      <c r="Y95" s="41"/>
      <c r="Z95" s="42"/>
      <c r="AA95" s="40"/>
      <c r="AB95" s="41"/>
      <c r="AC95" s="42"/>
      <c r="AD95" s="167"/>
      <c r="AE95" s="168"/>
      <c r="AF95" s="169"/>
      <c r="AG95" s="40"/>
      <c r="AH95" s="41"/>
      <c r="AI95" s="42"/>
      <c r="AJ95" s="40"/>
      <c r="AK95" s="41"/>
      <c r="AL95" s="42"/>
      <c r="AM95" s="40"/>
      <c r="AN95" s="41"/>
      <c r="AO95" s="42"/>
    </row>
    <row r="96" spans="1:41" ht="8.25" customHeight="1" thickBot="1">
      <c r="A96" s="250"/>
      <c r="B96" s="75"/>
      <c r="C96" s="67"/>
      <c r="D96" s="64"/>
      <c r="E96" s="13"/>
      <c r="F96" s="29"/>
      <c r="G96" s="30"/>
      <c r="H96" s="31"/>
      <c r="I96" s="29"/>
      <c r="J96" s="30"/>
      <c r="K96" s="31"/>
      <c r="L96" s="29"/>
      <c r="M96" s="30"/>
      <c r="N96" s="55"/>
      <c r="O96" s="29"/>
      <c r="P96" s="30"/>
      <c r="Q96" s="31"/>
      <c r="R96" s="29"/>
      <c r="S96" s="30"/>
      <c r="T96" s="31"/>
      <c r="U96" s="29"/>
      <c r="V96" s="30"/>
      <c r="W96" s="31"/>
      <c r="X96" s="29"/>
      <c r="Y96" s="30"/>
      <c r="Z96" s="31"/>
      <c r="AA96" s="29"/>
      <c r="AB96" s="30"/>
      <c r="AC96" s="31"/>
      <c r="AD96" s="157"/>
      <c r="AE96" s="158"/>
      <c r="AF96" s="159"/>
      <c r="AG96" s="29"/>
      <c r="AH96" s="30"/>
      <c r="AI96" s="31"/>
      <c r="AJ96" s="29"/>
      <c r="AK96" s="30"/>
      <c r="AL96" s="31"/>
      <c r="AM96" s="29"/>
      <c r="AN96" s="30"/>
      <c r="AO96" s="31"/>
    </row>
  </sheetData>
  <mergeCells count="140">
    <mergeCell ref="A26:A63"/>
    <mergeCell ref="C94:D94"/>
    <mergeCell ref="AJ5:AL5"/>
    <mergeCell ref="E88:E89"/>
    <mergeCell ref="B85:B86"/>
    <mergeCell ref="E85:E86"/>
    <mergeCell ref="C80:D80"/>
    <mergeCell ref="C93:D93"/>
    <mergeCell ref="C77:D77"/>
    <mergeCell ref="C85:D85"/>
    <mergeCell ref="C86:D86"/>
    <mergeCell ref="C87:D87"/>
    <mergeCell ref="C88:D88"/>
    <mergeCell ref="C89:D89"/>
    <mergeCell ref="B88:B89"/>
    <mergeCell ref="C91:D92"/>
    <mergeCell ref="B91:B92"/>
    <mergeCell ref="E77:E78"/>
    <mergeCell ref="B81:B83"/>
    <mergeCell ref="B79:B80"/>
    <mergeCell ref="B77:B78"/>
    <mergeCell ref="C83:D83"/>
    <mergeCell ref="C79:D79"/>
    <mergeCell ref="O5:Q5"/>
    <mergeCell ref="C69:C70"/>
    <mergeCell ref="L6:N6"/>
    <mergeCell ref="O6:Q6"/>
    <mergeCell ref="U6:W6"/>
    <mergeCell ref="L7:N7"/>
    <mergeCell ref="C45:D46"/>
    <mergeCell ref="C47:D48"/>
    <mergeCell ref="C15:D16"/>
    <mergeCell ref="C13:D14"/>
    <mergeCell ref="C11:D12"/>
    <mergeCell ref="E6:E8"/>
    <mergeCell ref="R7:T7"/>
    <mergeCell ref="C58:D60"/>
    <mergeCell ref="C61:D63"/>
    <mergeCell ref="R6:T6"/>
    <mergeCell ref="O7:Q7"/>
    <mergeCell ref="E26:E27"/>
    <mergeCell ref="E36:E37"/>
    <mergeCell ref="C55:D57"/>
    <mergeCell ref="C44:D44"/>
    <mergeCell ref="E33:E35"/>
    <mergeCell ref="E30:E32"/>
    <mergeCell ref="C31:D31"/>
    <mergeCell ref="B17:B24"/>
    <mergeCell ref="B11:B12"/>
    <mergeCell ref="C17:D24"/>
    <mergeCell ref="AM6:AO6"/>
    <mergeCell ref="AM7:AO7"/>
    <mergeCell ref="AJ6:AL6"/>
    <mergeCell ref="AJ7:AL7"/>
    <mergeCell ref="A9:A24"/>
    <mergeCell ref="AA6:AC6"/>
    <mergeCell ref="AD6:AF6"/>
    <mergeCell ref="AA7:AC7"/>
    <mergeCell ref="A6:A8"/>
    <mergeCell ref="B13:B16"/>
    <mergeCell ref="F6:H6"/>
    <mergeCell ref="AD7:AF7"/>
    <mergeCell ref="U7:W7"/>
    <mergeCell ref="X6:Z6"/>
    <mergeCell ref="X7:Z7"/>
    <mergeCell ref="F7:H7"/>
    <mergeCell ref="I7:K7"/>
    <mergeCell ref="I6:K6"/>
    <mergeCell ref="B36:B37"/>
    <mergeCell ref="B30:B35"/>
    <mergeCell ref="B49:B63"/>
    <mergeCell ref="AG1:AI1"/>
    <mergeCell ref="AA2:AC2"/>
    <mergeCell ref="AD2:AF2"/>
    <mergeCell ref="AG2:AI2"/>
    <mergeCell ref="AA3:AC4"/>
    <mergeCell ref="AD3:AF4"/>
    <mergeCell ref="AG3:AI4"/>
    <mergeCell ref="AG7:AI7"/>
    <mergeCell ref="AG5:AI5"/>
    <mergeCell ref="AG6:AI6"/>
    <mergeCell ref="AD5:AF5"/>
    <mergeCell ref="AA1:AC1"/>
    <mergeCell ref="AD1:AF1"/>
    <mergeCell ref="AA5:AC5"/>
    <mergeCell ref="C9:D10"/>
    <mergeCell ref="B9:B10"/>
    <mergeCell ref="I5:K5"/>
    <mergeCell ref="A1:E4"/>
    <mergeCell ref="A5:E5"/>
    <mergeCell ref="B6:B8"/>
    <mergeCell ref="C6:D8"/>
    <mergeCell ref="E79:E80"/>
    <mergeCell ref="C40:D40"/>
    <mergeCell ref="C38:D38"/>
    <mergeCell ref="C73:D73"/>
    <mergeCell ref="B65:B66"/>
    <mergeCell ref="C39:D39"/>
    <mergeCell ref="B45:B48"/>
    <mergeCell ref="B38:B39"/>
    <mergeCell ref="C43:D43"/>
    <mergeCell ref="E71:E72"/>
    <mergeCell ref="C72:D72"/>
    <mergeCell ref="B71:B76"/>
    <mergeCell ref="C71:D71"/>
    <mergeCell ref="E67:E68"/>
    <mergeCell ref="E69:E70"/>
    <mergeCell ref="C75:D75"/>
    <mergeCell ref="C76:D76"/>
    <mergeCell ref="B67:B70"/>
    <mergeCell ref="E75:E76"/>
    <mergeCell ref="E73:E74"/>
    <mergeCell ref="C52:D54"/>
    <mergeCell ref="C49:D51"/>
    <mergeCell ref="B40:B44"/>
    <mergeCell ref="C67:C68"/>
    <mergeCell ref="C81:D81"/>
    <mergeCell ref="A91:A96"/>
    <mergeCell ref="C82:D82"/>
    <mergeCell ref="B26:B29"/>
    <mergeCell ref="A85:A89"/>
    <mergeCell ref="A65:A83"/>
    <mergeCell ref="E81:E83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36:D36"/>
    <mergeCell ref="C37:D37"/>
    <mergeCell ref="C41:D41"/>
    <mergeCell ref="E65:E66"/>
    <mergeCell ref="C74:D74"/>
    <mergeCell ref="C42:D42"/>
    <mergeCell ref="E28:E29"/>
    <mergeCell ref="C78:D78"/>
  </mergeCells>
  <conditionalFormatting sqref="F7">
    <cfRule type="expression" dxfId="201" priority="749">
      <formula>F7=TODAY()</formula>
    </cfRule>
  </conditionalFormatting>
  <conditionalFormatting sqref="F26:F37">
    <cfRule type="expression" dxfId="200" priority="744">
      <formula>OR(WEEKDAY(F$7,2)=6,WEEKDAY(F$7,2)=7)</formula>
    </cfRule>
  </conditionalFormatting>
  <conditionalFormatting sqref="F87:F89">
    <cfRule type="expression" dxfId="199" priority="719">
      <formula>OR(WEEKDAY(F$7,2)=6,WEEKDAY(F$7,2)=7)</formula>
    </cfRule>
  </conditionalFormatting>
  <conditionalFormatting sqref="F6:H24">
    <cfRule type="expression" dxfId="198" priority="450">
      <formula>OR(WEEKDAY(F$7,2)=6,WEEKDAY(F$7,2)=7)</formula>
    </cfRule>
  </conditionalFormatting>
  <conditionalFormatting sqref="F45:H46 W45:W46 AA45:AF46 U45 AD45:AI45 AD39:AF39">
    <cfRule type="cellIs" dxfId="197" priority="698" operator="between">
      <formula>407</formula>
      <formula>409</formula>
    </cfRule>
  </conditionalFormatting>
  <conditionalFormatting sqref="F65:H74">
    <cfRule type="expression" dxfId="196" priority="420">
      <formula>OR(WEEKDAY(F$7,2)=6,WEEKDAY(F$7,2)=7)</formula>
    </cfRule>
  </conditionalFormatting>
  <conditionalFormatting sqref="F94:H96">
    <cfRule type="expression" dxfId="195" priority="397">
      <formula>OR(WEEKDAY(F$7,2)=6,WEEKDAY(F$7,2)=7)</formula>
    </cfRule>
  </conditionalFormatting>
  <conditionalFormatting sqref="F76:I76 K76:L76">
    <cfRule type="cellIs" dxfId="194" priority="587" operator="greaterThan">
      <formula>492</formula>
    </cfRule>
  </conditionalFormatting>
  <conditionalFormatting sqref="F10:Q10">
    <cfRule type="cellIs" dxfId="193" priority="104" operator="between">
      <formula>418</formula>
      <formula>419</formula>
    </cfRule>
  </conditionalFormatting>
  <conditionalFormatting sqref="F81:Q81">
    <cfRule type="expression" dxfId="192" priority="73">
      <formula>OR(WEEKDAY(F$7,2)=6,WEEKDAY(F$7,2)=7)</formula>
    </cfRule>
  </conditionalFormatting>
  <conditionalFormatting sqref="F88:Q89">
    <cfRule type="cellIs" dxfId="191" priority="300" operator="between">
      <formula>1020</formula>
      <formula>1022</formula>
    </cfRule>
  </conditionalFormatting>
  <conditionalFormatting sqref="F93:Q93">
    <cfRule type="expression" dxfId="190" priority="259">
      <formula>OR(WEEKDAY(F$7,2)=6,WEEKDAY(F$7,2)=7)</formula>
    </cfRule>
  </conditionalFormatting>
  <conditionalFormatting sqref="F39:AL39">
    <cfRule type="cellIs" dxfId="189" priority="249" operator="between">
      <formula>489</formula>
      <formula>490</formula>
    </cfRule>
    <cfRule type="cellIs" dxfId="188" priority="248" operator="between">
      <formula>407</formula>
      <formula>409</formula>
    </cfRule>
  </conditionalFormatting>
  <conditionalFormatting sqref="F42:AL44">
    <cfRule type="expression" dxfId="187" priority="88">
      <formula>OR(WEEKDAY(F$7,2)=6,WEEKDAY(F$7,2)=7)</formula>
    </cfRule>
  </conditionalFormatting>
  <conditionalFormatting sqref="F77:AL77">
    <cfRule type="cellIs" dxfId="186" priority="298" operator="between">
      <formula>491</formula>
      <formula>492</formula>
    </cfRule>
  </conditionalFormatting>
  <conditionalFormatting sqref="F77:AL78">
    <cfRule type="cellIs" dxfId="185" priority="293" operator="greaterThanOrEqual">
      <formula>397</formula>
    </cfRule>
  </conditionalFormatting>
  <conditionalFormatting sqref="F78:AL78">
    <cfRule type="cellIs" dxfId="184" priority="297" operator="between">
      <formula>398</formula>
      <formula>399</formula>
    </cfRule>
  </conditionalFormatting>
  <conditionalFormatting sqref="F79:AL80">
    <cfRule type="cellIs" dxfId="183" priority="301" operator="equal">
      <formula>714</formula>
    </cfRule>
  </conditionalFormatting>
  <conditionalFormatting sqref="F36:AO37">
    <cfRule type="cellIs" dxfId="182" priority="162" operator="equal">
      <formula>720</formula>
    </cfRule>
  </conditionalFormatting>
  <conditionalFormatting sqref="F45:AO45 O40:AI41">
    <cfRule type="expression" dxfId="181" priority="308">
      <formula>OR(WEEKDAY(F$7,2)=6,WEEKDAY(F$7,2)=7)</formula>
    </cfRule>
  </conditionalFormatting>
  <conditionalFormatting sqref="F45:AO45">
    <cfRule type="cellIs" dxfId="180" priority="278" operator="between">
      <formula>407</formula>
      <formula>409</formula>
    </cfRule>
    <cfRule type="cellIs" dxfId="179" priority="279" operator="between">
      <formula>489</formula>
      <formula>490</formula>
    </cfRule>
    <cfRule type="cellIs" dxfId="178" priority="295" operator="between">
      <formula>407</formula>
      <formula>409</formula>
    </cfRule>
    <cfRule type="cellIs" dxfId="177" priority="296" operator="between">
      <formula>489</formula>
      <formula>490</formula>
    </cfRule>
  </conditionalFormatting>
  <conditionalFormatting sqref="F46:AO46 I45:N45">
    <cfRule type="cellIs" dxfId="176" priority="590" operator="between">
      <formula>407</formula>
      <formula>409</formula>
    </cfRule>
  </conditionalFormatting>
  <conditionalFormatting sqref="F47:AO48">
    <cfRule type="cellIs" dxfId="175" priority="187" operator="between">
      <formula>489</formula>
      <formula>490</formula>
    </cfRule>
    <cfRule type="cellIs" dxfId="174" priority="186" operator="between">
      <formula>407</formula>
      <formula>409</formula>
    </cfRule>
  </conditionalFormatting>
  <conditionalFormatting sqref="F49:AO63">
    <cfRule type="expression" dxfId="173" priority="23">
      <formula>OR(WEEKDAY(F$7,2)=6,WEEKDAY(F$7,2)=7)</formula>
    </cfRule>
  </conditionalFormatting>
  <conditionalFormatting sqref="F85:AO86">
    <cfRule type="expression" dxfId="172" priority="119">
      <formula>OR(WEEKDAY(F$7,2)=6,WEEKDAY(F$7,2)=7)</formula>
    </cfRule>
  </conditionalFormatting>
  <conditionalFormatting sqref="F91:AO92">
    <cfRule type="expression" dxfId="171" priority="138">
      <formula>OR(WEEKDAY(F$7,2)=6,WEEKDAY(F$7,2)=7)</formula>
    </cfRule>
  </conditionalFormatting>
  <conditionalFormatting sqref="F93:AO93">
    <cfRule type="cellIs" dxfId="170" priority="92" operator="between">
      <formula>568</formula>
      <formula>570</formula>
    </cfRule>
  </conditionalFormatting>
  <conditionalFormatting sqref="G26:G27">
    <cfRule type="expression" dxfId="169" priority="722">
      <formula>OR(WEEKDAY(G$7,2)=6,WEEKDAY(G$7,2)=7)</formula>
    </cfRule>
  </conditionalFormatting>
  <conditionalFormatting sqref="G30:G37">
    <cfRule type="expression" dxfId="168" priority="723">
      <formula>OR(WEEKDAY(G$7,2)=6,WEEKDAY(G$7,2)=7)</formula>
    </cfRule>
  </conditionalFormatting>
  <conditionalFormatting sqref="G9:N9">
    <cfRule type="expression" dxfId="167" priority="195">
      <formula>OR(WEEKDAY(G$7,2)=6,WEEKDAY(G$7,2)=7)</formula>
    </cfRule>
  </conditionalFormatting>
  <conditionalFormatting sqref="G88:Q89">
    <cfRule type="expression" dxfId="166" priority="305">
      <formula>OR(WEEKDAY(G$7,2)=6,WEEKDAY(G$7,2)=7)</formula>
    </cfRule>
  </conditionalFormatting>
  <conditionalFormatting sqref="H26:H38">
    <cfRule type="expression" dxfId="165" priority="748">
      <formula>OR(WEEKDAY(H$7,2)=6,WEEKDAY(H$7,2)=7)</formula>
    </cfRule>
  </conditionalFormatting>
  <conditionalFormatting sqref="H28:I28 K28 F29:K29">
    <cfRule type="cellIs" dxfId="164" priority="107" operator="equal">
      <formula>500</formula>
    </cfRule>
    <cfRule type="cellIs" dxfId="163" priority="106" operator="equal">
      <formula>350</formula>
    </cfRule>
  </conditionalFormatting>
  <conditionalFormatting sqref="I7 L7">
    <cfRule type="expression" dxfId="162" priority="604">
      <formula>I7=TODAY()</formula>
    </cfRule>
  </conditionalFormatting>
  <conditionalFormatting sqref="I28:I29">
    <cfRule type="expression" dxfId="161" priority="108">
      <formula>OR(WEEKDAY(I$7,2)=6,WEEKDAY(I$7,2)=7)</formula>
    </cfRule>
  </conditionalFormatting>
  <conditionalFormatting sqref="I76 K76:L76 I77:N80 N76">
    <cfRule type="expression" dxfId="160" priority="603">
      <formula>OR(WEEKDAY(I$7,2)=6,WEEKDAY(I$7,2)=7)</formula>
    </cfRule>
  </conditionalFormatting>
  <conditionalFormatting sqref="I26:N27">
    <cfRule type="expression" dxfId="159" priority="236">
      <formula>OR(WEEKDAY(I$7,2)=6,WEEKDAY(I$7,2)=7)</formula>
    </cfRule>
  </conditionalFormatting>
  <conditionalFormatting sqref="I45:N45 F46:AO46">
    <cfRule type="cellIs" dxfId="158" priority="591" operator="between">
      <formula>489</formula>
      <formula>490</formula>
    </cfRule>
  </conditionalFormatting>
  <conditionalFormatting sqref="I65:N75">
    <cfRule type="expression" dxfId="157" priority="222">
      <formula>OR(WEEKDAY(I$7,2)=6,WEEKDAY(I$7,2)=7)</formula>
    </cfRule>
  </conditionalFormatting>
  <conditionalFormatting sqref="I94:Q94">
    <cfRule type="expression" dxfId="156" priority="264">
      <formula>OR(WEEKDAY(I$7,2)=6,WEEKDAY(I$7,2)=7)</formula>
    </cfRule>
  </conditionalFormatting>
  <conditionalFormatting sqref="I95:Q96">
    <cfRule type="expression" dxfId="155" priority="266">
      <formula>OR(WEEKDAY(I$7,2)=6,WEEKDAY(I$7,2)=7)</formula>
    </cfRule>
  </conditionalFormatting>
  <conditionalFormatting sqref="I83:U83">
    <cfRule type="expression" dxfId="154" priority="116">
      <formula>OR(WEEKDAY(I$7,2)=6,WEEKDAY(I$7,2)=7)</formula>
    </cfRule>
  </conditionalFormatting>
  <conditionalFormatting sqref="I6:AL8">
    <cfRule type="expression" dxfId="153" priority="272">
      <formula>OR(WEEKDAY(I$7,2)=6,WEEKDAY(I$7,2)=7)</formula>
    </cfRule>
  </conditionalFormatting>
  <conditionalFormatting sqref="I95:AL96">
    <cfRule type="cellIs" dxfId="152" priority="265" operator="between">
      <formula>1020</formula>
      <formula>1022</formula>
    </cfRule>
  </conditionalFormatting>
  <conditionalFormatting sqref="I11:AO24">
    <cfRule type="expression" dxfId="151" priority="149">
      <formula>OR(WEEKDAY(I$7,2)=6,WEEKDAY(I$7,2)=7)</formula>
    </cfRule>
  </conditionalFormatting>
  <conditionalFormatting sqref="J46 Y46">
    <cfRule type="cellIs" dxfId="150" priority="214" operator="between">
      <formula>489</formula>
      <formula>490</formula>
    </cfRule>
  </conditionalFormatting>
  <conditionalFormatting sqref="K28:K29">
    <cfRule type="expression" dxfId="149" priority="110">
      <formula>OR(WEEKDAY(K$7,2)=6,WEEKDAY(K$7,2)=7)</formula>
    </cfRule>
  </conditionalFormatting>
  <conditionalFormatting sqref="L45:N45">
    <cfRule type="cellIs" dxfId="148" priority="33" operator="between">
      <formula>489</formula>
      <formula>490</formula>
    </cfRule>
    <cfRule type="cellIs" dxfId="147" priority="32" operator="between">
      <formula>407</formula>
      <formula>409</formula>
    </cfRule>
  </conditionalFormatting>
  <conditionalFormatting sqref="N28:N29">
    <cfRule type="cellIs" dxfId="146" priority="599" operator="equal">
      <formula>350</formula>
    </cfRule>
    <cfRule type="cellIs" dxfId="145" priority="600" operator="equal">
      <formula>500</formula>
    </cfRule>
    <cfRule type="expression" dxfId="144" priority="602">
      <formula>OR(WEEKDAY(N$7,2)=6,WEEKDAY(N$7,2)=7)</formula>
    </cfRule>
  </conditionalFormatting>
  <conditionalFormatting sqref="N76:U76">
    <cfRule type="cellIs" dxfId="143" priority="292" operator="greaterThan">
      <formula>492</formula>
    </cfRule>
  </conditionalFormatting>
  <conditionalFormatting sqref="O7">
    <cfRule type="expression" dxfId="142" priority="273">
      <formula>O7=TODAY()</formula>
    </cfRule>
  </conditionalFormatting>
  <conditionalFormatting sqref="O9:Q10">
    <cfRule type="expression" dxfId="141" priority="105">
      <formula>OR(WEEKDAY(O$7,2)=6,WEEKDAY(O$7,2)=7)</formula>
    </cfRule>
    <cfRule type="expression" dxfId="140" priority="103">
      <formula>OR(WEEKDAY(O$7,2)=6,WEEKDAY(O$7,2)=7)</formula>
    </cfRule>
  </conditionalFormatting>
  <conditionalFormatting sqref="O10:Q10">
    <cfRule type="cellIs" dxfId="139" priority="102" operator="between">
      <formula>418</formula>
      <formula>419</formula>
    </cfRule>
  </conditionalFormatting>
  <conditionalFormatting sqref="O26:Q32">
    <cfRule type="expression" dxfId="138" priority="124">
      <formula>OR(WEEKDAY(O$7,2)=6,WEEKDAY(O$7,2)=7)</formula>
    </cfRule>
  </conditionalFormatting>
  <conditionalFormatting sqref="O33:Q38 T38 W38 Z38 AC38">
    <cfRule type="expression" dxfId="137" priority="251">
      <formula>OR(WEEKDAY(O$7,2)=6,WEEKDAY(O$7,2)=7)</formula>
    </cfRule>
  </conditionalFormatting>
  <conditionalFormatting sqref="O75:Q80 I82:Q82">
    <cfRule type="expression" dxfId="136" priority="290">
      <formula>OR(WEEKDAY(I$7,2)=6,WEEKDAY(I$7,2)=7)</formula>
    </cfRule>
  </conditionalFormatting>
  <conditionalFormatting sqref="O75:Q80">
    <cfRule type="expression" dxfId="135" priority="307">
      <formula>OR(WEEKDAY(O$7,2)=6,WEEKDAY(O$7,2)=7)</formula>
    </cfRule>
  </conditionalFormatting>
  <conditionalFormatting sqref="O76:Q76">
    <cfRule type="cellIs" dxfId="134" priority="275" operator="greaterThan">
      <formula>492</formula>
    </cfRule>
  </conditionalFormatting>
  <conditionalFormatting sqref="O77:Q77">
    <cfRule type="cellIs" dxfId="133" priority="281" operator="between">
      <formula>491</formula>
      <formula>492</formula>
    </cfRule>
  </conditionalFormatting>
  <conditionalFormatting sqref="O77:Q78">
    <cfRule type="cellIs" dxfId="132" priority="276" operator="greaterThanOrEqual">
      <formula>397</formula>
    </cfRule>
  </conditionalFormatting>
  <conditionalFormatting sqref="O78:Q78">
    <cfRule type="cellIs" dxfId="131" priority="280" operator="between">
      <formula>398</formula>
      <formula>399</formula>
    </cfRule>
  </conditionalFormatting>
  <conditionalFormatting sqref="O79:Q80">
    <cfRule type="cellIs" dxfId="130" priority="284" operator="equal">
      <formula>714</formula>
    </cfRule>
  </conditionalFormatting>
  <conditionalFormatting sqref="O88:Q89">
    <cfRule type="expression" dxfId="129" priority="288">
      <formula>OR(WEEKDAY(O$7,2)=6,WEEKDAY(O$7,2)=7)</formula>
    </cfRule>
    <cfRule type="cellIs" dxfId="128" priority="283" operator="between">
      <formula>1020</formula>
      <formula>1022</formula>
    </cfRule>
  </conditionalFormatting>
  <conditionalFormatting sqref="O94:Q96">
    <cfRule type="expression" dxfId="127" priority="263">
      <formula>OR(WEEKDAY(O$7,2)=6,WEEKDAY(O$7,2)=7)</formula>
    </cfRule>
  </conditionalFormatting>
  <conditionalFormatting sqref="O95:Q96">
    <cfRule type="cellIs" dxfId="126" priority="262" operator="between">
      <formula>1020</formula>
      <formula>1022</formula>
    </cfRule>
  </conditionalFormatting>
  <conditionalFormatting sqref="O87:T87">
    <cfRule type="expression" dxfId="125" priority="131">
      <formula>OR(WEEKDAY(O$7,2)=6,WEEKDAY(O$7,2)=7)</formula>
    </cfRule>
  </conditionalFormatting>
  <conditionalFormatting sqref="O39:AC39">
    <cfRule type="cellIs" dxfId="124" priority="245" operator="between">
      <formula>407</formula>
      <formula>409</formula>
    </cfRule>
    <cfRule type="cellIs" dxfId="123" priority="246" operator="between">
      <formula>489</formula>
      <formula>490</formula>
    </cfRule>
    <cfRule type="expression" dxfId="122" priority="247">
      <formula>OR(WEEKDAY(O$7,2)=6,WEEKDAY(O$7,2)=7)</formula>
    </cfRule>
    <cfRule type="expression" dxfId="121" priority="250">
      <formula>OR(WEEKDAY(O$7,2)=6,WEEKDAY(O$7,2)=7)</formula>
    </cfRule>
  </conditionalFormatting>
  <conditionalFormatting sqref="O30:AO30">
    <cfRule type="expression" dxfId="120" priority="126">
      <formula>OR(WEEKDAY(O$7,2)=6,WEEKDAY(O$7,2)=7)</formula>
    </cfRule>
  </conditionalFormatting>
  <conditionalFormatting sqref="O65:AO74">
    <cfRule type="expression" dxfId="119" priority="143">
      <formula>OR(WEEKDAY(O$7,2)=6,WEEKDAY(O$7,2)=7)</formula>
    </cfRule>
  </conditionalFormatting>
  <conditionalFormatting sqref="R7 U7 X7 AA7 AD7 AG7 AJ7">
    <cfRule type="expression" dxfId="118" priority="492">
      <formula>R7=TODAY()</formula>
    </cfRule>
  </conditionalFormatting>
  <conditionalFormatting sqref="R75:T80 R10:AL10 R13:W24">
    <cfRule type="expression" dxfId="117" priority="726">
      <formula>OR(WEEKDAY(R$7,2)=6,WEEKDAY(R$7,2)=7)</formula>
    </cfRule>
  </conditionalFormatting>
  <conditionalFormatting sqref="R93:T94">
    <cfRule type="expression" dxfId="116" priority="333">
      <formula>OR(WEEKDAY(R$7,2)=6,WEEKDAY(R$7,2)=7)</formula>
    </cfRule>
  </conditionalFormatting>
  <conditionalFormatting sqref="R95:T96">
    <cfRule type="expression" dxfId="115" priority="398">
      <formula>OR(WEEKDAY(R$7,2)=6,WEEKDAY(R$7,2)=7)</formula>
    </cfRule>
  </conditionalFormatting>
  <conditionalFormatting sqref="R76:U76 W76 AA76:AD76 AF76">
    <cfRule type="cellIs" dxfId="114" priority="646" operator="greaterThan">
      <formula>492</formula>
    </cfRule>
  </conditionalFormatting>
  <conditionalFormatting sqref="R81:U82">
    <cfRule type="expression" dxfId="113" priority="448">
      <formula>OR(WEEKDAY(R$7,2)=6,WEEKDAY(R$7,2)=7)</formula>
    </cfRule>
  </conditionalFormatting>
  <conditionalFormatting sqref="R71:W74">
    <cfRule type="expression" dxfId="112" priority="422">
      <formula>OR(WEEKDAY(R$7,2)=6,WEEKDAY(R$7,2)=7)</formula>
    </cfRule>
  </conditionalFormatting>
  <conditionalFormatting sqref="R77:W77 AA77:AF77">
    <cfRule type="cellIs" dxfId="111" priority="701" operator="between">
      <formula>491</formula>
      <formula>492</formula>
    </cfRule>
  </conditionalFormatting>
  <conditionalFormatting sqref="R77:W78 AA77:AF78">
    <cfRule type="cellIs" dxfId="110" priority="672" operator="greaterThanOrEqual">
      <formula>397</formula>
    </cfRule>
  </conditionalFormatting>
  <conditionalFormatting sqref="R78:W78 AA78:AF78">
    <cfRule type="cellIs" dxfId="109" priority="700" operator="between">
      <formula>398</formula>
      <formula>399</formula>
    </cfRule>
  </conditionalFormatting>
  <conditionalFormatting sqref="R79:W80 AA79:AF80">
    <cfRule type="cellIs" dxfId="108" priority="705" operator="equal">
      <formula>714</formula>
    </cfRule>
  </conditionalFormatting>
  <conditionalFormatting sqref="R88:W89 AA88:AF89 F95:H96">
    <cfRule type="cellIs" dxfId="107" priority="703" operator="between">
      <formula>1020</formula>
      <formula>1022</formula>
    </cfRule>
  </conditionalFormatting>
  <conditionalFormatting sqref="R88:W89">
    <cfRule type="expression" dxfId="106" priority="713">
      <formula>OR(WEEKDAY(R$7,2)=6,WEEKDAY(R$7,2)=7)</formula>
    </cfRule>
  </conditionalFormatting>
  <conditionalFormatting sqref="R95:W96 AA95:AF96">
    <cfRule type="cellIs" dxfId="105" priority="396" operator="between">
      <formula>1020</formula>
      <formula>1022</formula>
    </cfRule>
  </conditionalFormatting>
  <conditionalFormatting sqref="R32:AI37 R31:U31 W31:X31 Z31:AA31 AC31:AI31">
    <cfRule type="expression" dxfId="104" priority="235">
      <formula>OR(WEEKDAY(R$7,2)=6,WEEKDAY(R$7,2)=7)</formula>
    </cfRule>
  </conditionalFormatting>
  <conditionalFormatting sqref="R9:AL9">
    <cfRule type="expression" dxfId="103" priority="194">
      <formula>OR(WEEKDAY(R$7,2)=6,WEEKDAY(R$7,2)=7)</formula>
    </cfRule>
  </conditionalFormatting>
  <conditionalFormatting sqref="R10:AL10">
    <cfRule type="cellIs" dxfId="102" priority="702" operator="between">
      <formula>418</formula>
      <formula>419</formula>
    </cfRule>
    <cfRule type="cellIs" dxfId="101" priority="575" operator="between">
      <formula>418</formula>
      <formula>419</formula>
    </cfRule>
  </conditionalFormatting>
  <conditionalFormatting sqref="R88:AL89">
    <cfRule type="cellIs" dxfId="100" priority="576" operator="between">
      <formula>1020</formula>
      <formula>1022</formula>
    </cfRule>
  </conditionalFormatting>
  <conditionalFormatting sqref="R94:AL96">
    <cfRule type="expression" dxfId="99" priority="383">
      <formula>OR(WEEKDAY(R$7,2)=6,WEEKDAY(R$7,2)=7)</formula>
    </cfRule>
  </conditionalFormatting>
  <conditionalFormatting sqref="T28 R29:T33">
    <cfRule type="expression" dxfId="98" priority="725">
      <formula>OR(WEEKDAY(R$7,2)=6,WEEKDAY(R$7,2)=7)</formula>
    </cfRule>
  </conditionalFormatting>
  <conditionalFormatting sqref="T28 AF28 AI28 AL28 R29:T29 AI29:AL29">
    <cfRule type="expression" dxfId="97" priority="583">
      <formula>OR(WEEKDAY(R$7,2)=6,WEEKDAY(R$7,2)=7)</formula>
    </cfRule>
  </conditionalFormatting>
  <conditionalFormatting sqref="U45 W45:AL46">
    <cfRule type="cellIs" dxfId="96" priority="572" operator="between">
      <formula>489</formula>
      <formula>490</formula>
    </cfRule>
  </conditionalFormatting>
  <conditionalFormatting sqref="U45:W45">
    <cfRule type="cellIs" dxfId="95" priority="20" operator="between">
      <formula>489</formula>
      <formula>490</formula>
    </cfRule>
    <cfRule type="cellIs" dxfId="94" priority="19" operator="between">
      <formula>407</formula>
      <formula>409</formula>
    </cfRule>
    <cfRule type="cellIs" dxfId="93" priority="18" operator="between">
      <formula>489</formula>
      <formula>490</formula>
    </cfRule>
    <cfRule type="cellIs" dxfId="92" priority="17" operator="between">
      <formula>407</formula>
      <formula>409</formula>
    </cfRule>
  </conditionalFormatting>
  <conditionalFormatting sqref="U77:W80 U76 W76 W81:W82">
    <cfRule type="expression" dxfId="91" priority="729">
      <formula>OR(WEEKDAY(U$7,2)=6,WEEKDAY(U$7,2)=7)</formula>
    </cfRule>
  </conditionalFormatting>
  <conditionalFormatting sqref="U94:W96">
    <cfRule type="expression" dxfId="90" priority="399">
      <formula>OR(WEEKDAY(U$7,2)=6,WEEKDAY(U$7,2)=7)</formula>
    </cfRule>
  </conditionalFormatting>
  <conditionalFormatting sqref="U93:AO93">
    <cfRule type="expression" dxfId="89" priority="93">
      <formula>OR(WEEKDAY(U$7,2)=6,WEEKDAY(U$7,2)=7)</formula>
    </cfRule>
  </conditionalFormatting>
  <conditionalFormatting sqref="V45">
    <cfRule type="expression" dxfId="88" priority="221">
      <formula>OR(WEEKDAY(V$7,2)=6,WEEKDAY(V$7,2)=7)</formula>
    </cfRule>
    <cfRule type="cellIs" dxfId="87" priority="219" operator="between">
      <formula>407</formula>
      <formula>409</formula>
    </cfRule>
    <cfRule type="cellIs" dxfId="86" priority="220" operator="between">
      <formula>489</formula>
      <formula>490</formula>
    </cfRule>
  </conditionalFormatting>
  <conditionalFormatting sqref="V45:V46 Y46">
    <cfRule type="cellIs" dxfId="85" priority="201" operator="between">
      <formula>489</formula>
      <formula>490</formula>
    </cfRule>
    <cfRule type="cellIs" dxfId="84" priority="200" operator="between">
      <formula>407</formula>
      <formula>409</formula>
    </cfRule>
  </conditionalFormatting>
  <conditionalFormatting sqref="V46">
    <cfRule type="expression" dxfId="83" priority="202">
      <formula>OR(WEEKDAY(V$7,2)=6,WEEKDAY(V$7,2)=7)</formula>
    </cfRule>
    <cfRule type="cellIs" dxfId="82" priority="198" operator="between">
      <formula>407</formula>
      <formula>409</formula>
    </cfRule>
    <cfRule type="cellIs" dxfId="81" priority="199" operator="between">
      <formula>489</formula>
      <formula>490</formula>
    </cfRule>
  </conditionalFormatting>
  <conditionalFormatting sqref="V81:AI83">
    <cfRule type="expression" dxfId="80" priority="89">
      <formula>OR(WEEKDAY(V$7,2)=6,WEEKDAY(V$7,2)=7)</formula>
    </cfRule>
  </conditionalFormatting>
  <conditionalFormatting sqref="W87">
    <cfRule type="expression" dxfId="79" priority="240">
      <formula>OR(WEEKDAY(W$7,2)=6,WEEKDAY(W$7,2)=7)</formula>
    </cfRule>
  </conditionalFormatting>
  <conditionalFormatting sqref="W76:X76 Z76:AD76">
    <cfRule type="cellIs" dxfId="78" priority="568" operator="greaterThan">
      <formula>492</formula>
    </cfRule>
  </conditionalFormatting>
  <conditionalFormatting sqref="W45:AL46 U45">
    <cfRule type="cellIs" dxfId="77" priority="571" operator="between">
      <formula>407</formula>
      <formula>409</formula>
    </cfRule>
  </conditionalFormatting>
  <conditionalFormatting sqref="X85:Y85">
    <cfRule type="expression" dxfId="76" priority="123">
      <formula>OR(WEEKDAY(X$7,2)=6,WEEKDAY(X$7,2)=7)</formula>
    </cfRule>
  </conditionalFormatting>
  <conditionalFormatting sqref="Y46 J46">
    <cfRule type="cellIs" dxfId="75" priority="213" operator="between">
      <formula>407</formula>
      <formula>409</formula>
    </cfRule>
  </conditionalFormatting>
  <conditionalFormatting sqref="Z87">
    <cfRule type="expression" dxfId="74" priority="239">
      <formula>OR(WEEKDAY(Z$7,2)=6,WEEKDAY(Z$7,2)=7)</formula>
    </cfRule>
  </conditionalFormatting>
  <conditionalFormatting sqref="AA88:AF89">
    <cfRule type="expression" dxfId="73" priority="716">
      <formula>OR(WEEKDAY(AA$7,2)=6,WEEKDAY(AA$7,2)=7)</formula>
    </cfRule>
  </conditionalFormatting>
  <conditionalFormatting sqref="AA94:AF96">
    <cfRule type="expression" dxfId="72" priority="400">
      <formula>OR(WEEKDAY(AA$7,2)=6,WEEKDAY(AA$7,2)=7)</formula>
    </cfRule>
  </conditionalFormatting>
  <conditionalFormatting sqref="AA77:AI80 AA75:AA76 AC75:AD76 AA13:AC24">
    <cfRule type="expression" dxfId="71" priority="735">
      <formula>OR(WEEKDAY(AA$7,2)=6,WEEKDAY(AA$7,2)=7)</formula>
    </cfRule>
  </conditionalFormatting>
  <conditionalFormatting sqref="AA71:AL74">
    <cfRule type="expression" dxfId="70" priority="414">
      <formula>OR(WEEKDAY(AA$7,2)=6,WEEKDAY(AA$7,2)=7)</formula>
    </cfRule>
  </conditionalFormatting>
  <conditionalFormatting sqref="AB76 G75:G76">
    <cfRule type="expression" dxfId="69" priority="711">
      <formula>OR(WEEKDAY(G$7,2)=6,WEEKDAY(G$7,2)=7)</formula>
    </cfRule>
  </conditionalFormatting>
  <conditionalFormatting sqref="AC87">
    <cfRule type="expression" dxfId="68" priority="336">
      <formula>OR(WEEKDAY(AC$7,2)=6,WEEKDAY(AC$7,2)=7)</formula>
    </cfRule>
  </conditionalFormatting>
  <conditionalFormatting sqref="AD39:AF39 U45 AD45:AI45 F45:H46 W45:W46 AA45:AF46">
    <cfRule type="cellIs" dxfId="67" priority="699" operator="between">
      <formula>489</formula>
      <formula>490</formula>
    </cfRule>
  </conditionalFormatting>
  <conditionalFormatting sqref="AE93:AF93 F45:N45 U45:W45 W45:AL46 F46:AO46 AF76:AG76 F75:F80 H75:H80 G78:G80 I30:N41 AJ30:AL41 F39:H41 I10:N10 F82:H83 F47:AL48 AD30:AI39">
    <cfRule type="expression" dxfId="66" priority="754">
      <formula>OR(WEEKDAY(F$7,2)=6,WEEKDAY(F$7,2)=7)</formula>
    </cfRule>
  </conditionalFormatting>
  <conditionalFormatting sqref="AE93:AF93">
    <cfRule type="cellIs" dxfId="65" priority="704" operator="between">
      <formula>568</formula>
      <formula>570</formula>
    </cfRule>
  </conditionalFormatting>
  <conditionalFormatting sqref="AF28 R28:T29 F28">
    <cfRule type="cellIs" dxfId="64" priority="708" operator="equal">
      <formula>500</formula>
    </cfRule>
    <cfRule type="cellIs" dxfId="63" priority="707" operator="equal">
      <formula>350</formula>
    </cfRule>
  </conditionalFormatting>
  <conditionalFormatting sqref="AF28">
    <cfRule type="expression" dxfId="62" priority="737">
      <formula>OR(WEEKDAY(AF$7,2)=6,WEEKDAY(AF$7,2)=7)</formula>
    </cfRule>
  </conditionalFormatting>
  <conditionalFormatting sqref="AF28:AG28 AI28:AL29 R28:T29">
    <cfRule type="cellIs" dxfId="61" priority="580" operator="equal">
      <formula>350</formula>
    </cfRule>
    <cfRule type="cellIs" dxfId="60" priority="581" operator="equal">
      <formula>500</formula>
    </cfRule>
  </conditionalFormatting>
  <conditionalFormatting sqref="AF76:AG76">
    <cfRule type="cellIs" dxfId="59" priority="495" operator="greaterThan">
      <formula>492</formula>
    </cfRule>
  </conditionalFormatting>
  <conditionalFormatting sqref="AF87:AI87">
    <cfRule type="expression" dxfId="58" priority="191">
      <formula>OR(WEEKDAY(AF$7,2)=6,WEEKDAY(AF$7,2)=7)</formula>
    </cfRule>
  </conditionalFormatting>
  <conditionalFormatting sqref="AG28 AI28:AL29">
    <cfRule type="expression" dxfId="57" priority="511">
      <formula>OR(WEEKDAY(AG$7,2)=6,WEEKDAY(AG$7,2)=7)</formula>
    </cfRule>
  </conditionalFormatting>
  <conditionalFormatting sqref="AG28">
    <cfRule type="cellIs" dxfId="56" priority="508" operator="equal">
      <formula>350</formula>
    </cfRule>
    <cfRule type="cellIs" dxfId="55" priority="509" operator="equal">
      <formula>500</formula>
    </cfRule>
  </conditionalFormatting>
  <conditionalFormatting sqref="AG10:AL10">
    <cfRule type="expression" dxfId="54" priority="512">
      <formula>OR(WEEKDAY(AG$7,2)=6,WEEKDAY(AG$7,2)=7)</formula>
    </cfRule>
  </conditionalFormatting>
  <conditionalFormatting sqref="AG45:AL46">
    <cfRule type="cellIs" dxfId="53" priority="499" operator="between">
      <formula>407</formula>
      <formula>409</formula>
    </cfRule>
    <cfRule type="cellIs" dxfId="52" priority="500" operator="between">
      <formula>489</formula>
      <formula>490</formula>
    </cfRule>
  </conditionalFormatting>
  <conditionalFormatting sqref="AG87:AL89">
    <cfRule type="expression" dxfId="51" priority="510">
      <formula>OR(WEEKDAY(AG$7,2)=6,WEEKDAY(AG$7,2)=7)</formula>
    </cfRule>
  </conditionalFormatting>
  <conditionalFormatting sqref="AG10:AO10">
    <cfRule type="cellIs" dxfId="50" priority="188" operator="between">
      <formula>418</formula>
      <formula>419</formula>
    </cfRule>
  </conditionalFormatting>
  <conditionalFormatting sqref="AG39:AO39 AM45:AO46">
    <cfRule type="cellIs" dxfId="49" priority="173" operator="between">
      <formula>489</formula>
      <formula>490</formula>
    </cfRule>
    <cfRule type="cellIs" dxfId="48" priority="172" operator="between">
      <formula>407</formula>
      <formula>409</formula>
    </cfRule>
  </conditionalFormatting>
  <conditionalFormatting sqref="AG88:AO89">
    <cfRule type="cellIs" dxfId="47" priority="177" operator="between">
      <formula>1020</formula>
      <formula>1022</formula>
    </cfRule>
  </conditionalFormatting>
  <conditionalFormatting sqref="AG94:AO96">
    <cfRule type="expression" dxfId="46" priority="142">
      <formula>OR(WEEKDAY(AG$7,2)=6,WEEKDAY(AG$7,2)=7)</formula>
    </cfRule>
  </conditionalFormatting>
  <conditionalFormatting sqref="AG95:AO96">
    <cfRule type="cellIs" dxfId="45" priority="141" operator="between">
      <formula>1020</formula>
      <formula>1022</formula>
    </cfRule>
  </conditionalFormatting>
  <conditionalFormatting sqref="AI28:AO29">
    <cfRule type="cellIs" dxfId="44" priority="181" operator="equal">
      <formula>350</formula>
    </cfRule>
    <cfRule type="cellIs" dxfId="43" priority="182" operator="equal">
      <formula>500</formula>
    </cfRule>
  </conditionalFormatting>
  <conditionalFormatting sqref="AI76:AO76">
    <cfRule type="cellIs" dxfId="42" priority="150" operator="greaterThan">
      <formula>492</formula>
    </cfRule>
  </conditionalFormatting>
  <conditionalFormatting sqref="AJ9:AL24 R10:AI10 W76:X76 Z76:AD76 AF76:AG76 AJ75:AL83 R77:AI80 R76:U76 AI76 R75:X75 Z75:AA75 AC75:AD75 AF75:AI75">
    <cfRule type="expression" dxfId="41" priority="584">
      <formula>OR(WEEKDAY(R$7,2)=6,WEEKDAY(R$7,2)=7)</formula>
    </cfRule>
  </conditionalFormatting>
  <conditionalFormatting sqref="AJ85:AL89 R88:AI89 AD86:AE87">
    <cfRule type="expression" dxfId="40" priority="582">
      <formula>OR(WEEKDAY(R$7,2)=6,WEEKDAY(R$7,2)=7)</formula>
    </cfRule>
  </conditionalFormatting>
  <conditionalFormatting sqref="AM7">
    <cfRule type="expression" dxfId="39" priority="148">
      <formula>AM7=TODAY()</formula>
    </cfRule>
  </conditionalFormatting>
  <conditionalFormatting sqref="AM6:AO7">
    <cfRule type="expression" dxfId="38" priority="147">
      <formula>OR(WEEKDAY(AM$7,2)=6,WEEKDAY(AM$7,2)=7)</formula>
    </cfRule>
  </conditionalFormatting>
  <conditionalFormatting sqref="AM8:AO10">
    <cfRule type="expression" dxfId="37" priority="167">
      <formula>OR(WEEKDAY(AM$7,2)=6,WEEKDAY(AM$7,2)=7)</formula>
    </cfRule>
  </conditionalFormatting>
  <conditionalFormatting sqref="AM8:AO24 AM75:AO83">
    <cfRule type="expression" dxfId="36" priority="185">
      <formula>OR(WEEKDAY(AM$7,2)=6,WEEKDAY(AM$7,2)=7)</formula>
    </cfRule>
  </conditionalFormatting>
  <conditionalFormatting sqref="AM9:AO10">
    <cfRule type="expression" dxfId="35" priority="189">
      <formula>OR(WEEKDAY(AM$7,2)=6,WEEKDAY(AM$7,2)=7)</formula>
    </cfRule>
  </conditionalFormatting>
  <conditionalFormatting sqref="AM10:AO10">
    <cfRule type="cellIs" dxfId="34" priority="158" operator="between">
      <formula>418</formula>
      <formula>419</formula>
    </cfRule>
    <cfRule type="cellIs" dxfId="33" priority="176" operator="between">
      <formula>418</formula>
      <formula>419</formula>
    </cfRule>
  </conditionalFormatting>
  <conditionalFormatting sqref="AM26:AO29">
    <cfRule type="expression" dxfId="32" priority="166">
      <formula>OR(WEEKDAY(AM$7,2)=6,WEEKDAY(AM$7,2)=7)</formula>
    </cfRule>
  </conditionalFormatting>
  <conditionalFormatting sqref="AM28:AO29">
    <cfRule type="cellIs" dxfId="31" priority="164" operator="equal">
      <formula>500</formula>
    </cfRule>
    <cfRule type="cellIs" dxfId="30" priority="163" operator="equal">
      <formula>350</formula>
    </cfRule>
  </conditionalFormatting>
  <conditionalFormatting sqref="AM39:AO39 AM45:AO46">
    <cfRule type="cellIs" dxfId="29" priority="155" operator="between">
      <formula>489</formula>
      <formula>490</formula>
    </cfRule>
    <cfRule type="cellIs" dxfId="28" priority="154" operator="between">
      <formula>407</formula>
      <formula>409</formula>
    </cfRule>
  </conditionalFormatting>
  <conditionalFormatting sqref="AM44:AO44">
    <cfRule type="expression" dxfId="27" priority="87">
      <formula>OR(WEEKDAY(AM$7,2)=6,WEEKDAY(AM$7,2)=7)</formula>
    </cfRule>
  </conditionalFormatting>
  <conditionalFormatting sqref="AM45:AO48">
    <cfRule type="expression" dxfId="26" priority="190">
      <formula>OR(WEEKDAY(AM$7,2)=6,WEEKDAY(AM$7,2)=7)</formula>
    </cfRule>
  </conditionalFormatting>
  <conditionalFormatting sqref="AM77:AO77">
    <cfRule type="cellIs" dxfId="25" priority="157" operator="between">
      <formula>491</formula>
      <formula>492</formula>
    </cfRule>
  </conditionalFormatting>
  <conditionalFormatting sqref="AM77:AO78">
    <cfRule type="cellIs" dxfId="24" priority="151" operator="greaterThanOrEqual">
      <formula>397</formula>
    </cfRule>
  </conditionalFormatting>
  <conditionalFormatting sqref="AM78:AO78">
    <cfRule type="cellIs" dxfId="23" priority="156" operator="between">
      <formula>398</formula>
      <formula>399</formula>
    </cfRule>
  </conditionalFormatting>
  <conditionalFormatting sqref="AM79:AO80">
    <cfRule type="cellIs" dxfId="22" priority="161" operator="equal">
      <formula>714</formula>
    </cfRule>
  </conditionalFormatting>
  <conditionalFormatting sqref="AM85:AO89">
    <cfRule type="expression" dxfId="21" priority="183">
      <formula>OR(WEEKDAY(AM$7,2)=6,WEEKDAY(AM$7,2)=7)</formula>
    </cfRule>
  </conditionalFormatting>
  <conditionalFormatting sqref="AM87:AO89">
    <cfRule type="expression" dxfId="20" priority="165">
      <formula>OR(WEEKDAY(AM$7,2)=6,WEEKDAY(AM$7,2)=7)</formula>
    </cfRule>
  </conditionalFormatting>
  <conditionalFormatting sqref="AM88:AO89">
    <cfRule type="cellIs" dxfId="19" priority="159" operator="between">
      <formula>1020</formula>
      <formula>1022</formula>
    </cfRule>
  </conditionalFormatting>
  <conditionalFormatting sqref="AM94:AO96">
    <cfRule type="expression" dxfId="18" priority="140">
      <formula>OR(WEEKDAY(AM$7,2)=6,WEEKDAY(AM$7,2)=7)</formula>
    </cfRule>
  </conditionalFormatting>
  <conditionalFormatting sqref="AM95:AO96">
    <cfRule type="cellIs" dxfId="17" priority="139" operator="between">
      <formula>1020</formula>
      <formula>1022</formula>
    </cfRule>
  </conditionalFormatting>
  <conditionalFormatting sqref="AO28 AM29:AO43 R27:AO27 R26:T26 AJ26:AO26">
    <cfRule type="expression" dxfId="16" priority="184">
      <formula>OR(WEEKDAY(R$7,2)=6,WEEKDAY(R$7,2)=7)</formula>
    </cfRule>
  </conditionalFormatting>
  <conditionalFormatting sqref="L47:N47">
    <cfRule type="expression" dxfId="15" priority="14">
      <formula>OR(WEEKDAY(L$7,2)=6,WEEKDAY(L$7,2)=7)</formula>
    </cfRule>
  </conditionalFormatting>
  <conditionalFormatting sqref="L47:N47">
    <cfRule type="cellIs" dxfId="14" priority="10" operator="between">
      <formula>407</formula>
      <formula>409</formula>
    </cfRule>
    <cfRule type="cellIs" dxfId="13" priority="11" operator="between">
      <formula>489</formula>
      <formula>490</formula>
    </cfRule>
    <cfRule type="cellIs" dxfId="12" priority="12" operator="between">
      <formula>407</formula>
      <formula>409</formula>
    </cfRule>
    <cfRule type="cellIs" dxfId="11" priority="13" operator="between">
      <formula>489</formula>
      <formula>490</formula>
    </cfRule>
  </conditionalFormatting>
  <conditionalFormatting sqref="L47:N47">
    <cfRule type="cellIs" dxfId="10" priority="15" operator="between">
      <formula>407</formula>
      <formula>409</formula>
    </cfRule>
  </conditionalFormatting>
  <conditionalFormatting sqref="L47:N47">
    <cfRule type="cellIs" dxfId="9" priority="16" operator="between">
      <formula>489</formula>
      <formula>490</formula>
    </cfRule>
  </conditionalFormatting>
  <conditionalFormatting sqref="L47:N47">
    <cfRule type="cellIs" dxfId="8" priority="8" operator="between">
      <formula>407</formula>
      <formula>409</formula>
    </cfRule>
    <cfRule type="cellIs" dxfId="7" priority="9" operator="between">
      <formula>489</formula>
      <formula>490</formula>
    </cfRule>
  </conditionalFormatting>
  <conditionalFormatting sqref="U26:W26">
    <cfRule type="expression" dxfId="6" priority="7">
      <formula>OR(WEEKDAY(U$7,2)=6,WEEKDAY(U$7,2)=7)</formula>
    </cfRule>
  </conditionalFormatting>
  <conditionalFormatting sqref="X26:Z26">
    <cfRule type="expression" dxfId="5" priority="6">
      <formula>OR(WEEKDAY(X$7,2)=6,WEEKDAY(X$7,2)=7)</formula>
    </cfRule>
  </conditionalFormatting>
  <conditionalFormatting sqref="AA26:AI26">
    <cfRule type="expression" dxfId="4" priority="5">
      <formula>OR(WEEKDAY(AA$7,2)=6,WEEKDAY(AA$7,2)=7)</formula>
    </cfRule>
  </conditionalFormatting>
  <conditionalFormatting sqref="V31">
    <cfRule type="expression" dxfId="3" priority="4">
      <formula>OR(WEEKDAY(V$7,2)=6,WEEKDAY(V$7,2)=7)</formula>
    </cfRule>
  </conditionalFormatting>
  <conditionalFormatting sqref="Y31">
    <cfRule type="expression" dxfId="2" priority="3">
      <formula>OR(WEEKDAY(Y$7,2)=6,WEEKDAY(Y$7,2)=7)</formula>
    </cfRule>
  </conditionalFormatting>
  <conditionalFormatting sqref="AB31">
    <cfRule type="expression" dxfId="1" priority="2">
      <formula>OR(WEEKDAY(AB$7,2)=6,WEEKDAY(AB$7,2)=7)</formula>
    </cfRule>
  </conditionalFormatting>
  <conditionalFormatting sqref="U93:AI93">
    <cfRule type="expression" dxfId="0" priority="1">
      <formula>OR(WEEKDAY(U$7,2)=6,WEEKDAY(U$7,2)=7)</formula>
    </cfRule>
  </conditionalFormatting>
  <printOptions horizontalCentered="1" verticalCentered="1"/>
  <pageMargins left="0" right="0" top="0" bottom="0" header="0" footer="0"/>
  <pageSetup paperSize="3" scale="75" orientation="landscape" cellComments="asDisplayed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2026-04-15T17:19:09Z</dcterms:modified>
</cp:coreProperties>
</file>